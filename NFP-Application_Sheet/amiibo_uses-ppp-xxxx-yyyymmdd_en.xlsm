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931" codeName="{B6124F1A-AFFB-F854-7757-9A1D4C6FC43C}"/>
  <workbookPr filterPrivacy="1" codeName="ThisWorkbook" defaultThemeVersion="124226"/>
  <xr:revisionPtr revIDLastSave="0" documentId="13_ncr:1_{92452BA0-7930-43D6-A52D-6E355C448140}" xr6:coauthVersionLast="47" xr6:coauthVersionMax="47" xr10:uidLastSave="{00000000-0000-0000-0000-000000000000}"/>
  <bookViews>
    <workbookView xWindow="-120" yWindow="-120" windowWidth="29040" windowHeight="15840" xr2:uid="{00000000-000D-0000-FFFF-FFFF00000000}"/>
  </bookViews>
  <sheets>
    <sheet name="The amiibo Application Sheet" sheetId="14" r:id="rId1"/>
    <sheet name="amiibo Application (Example)" sheetId="1" r:id="rId2"/>
    <sheet name="amiibo Application Sheet Ver3.1" sheetId="12" r:id="rId3"/>
    <sheet name="Mii Use" sheetId="10" r:id="rId4"/>
    <sheet name="amiibo_DataList" sheetId="13" r:id="rId5"/>
    <sheet name="CharacterID" sheetId="15" r:id="rId6"/>
    <sheet name="SeriesID" sheetId="8" r:id="rId7"/>
    <sheet name="NFP_Type" sheetId="7" r:id="rId8"/>
  </sheets>
  <definedNames>
    <definedName name="_xlnm._FilterDatabase" localSheetId="1" hidden="1">'amiibo Application (Example)'!$C$12:$O$12</definedName>
    <definedName name="_xlnm._FilterDatabase" localSheetId="2" hidden="1">'amiibo Application Sheet Ver3.1'!$C$12:$O$12</definedName>
    <definedName name="_xlnm._FilterDatabase" localSheetId="4" hidden="1">amiibo_DataList!$A$5:$Q$5</definedName>
    <definedName name="_xlnm._FilterDatabase" localSheetId="5" hidden="1">CharacterID!$A$2:$C$2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46" i="1" l="1"/>
  <c r="D45" i="1"/>
  <c r="D44" i="1"/>
  <c r="D43" i="1"/>
  <c r="D42" i="1"/>
  <c r="D41" i="1"/>
  <c r="D40" i="1"/>
  <c r="D39" i="1"/>
  <c r="D38" i="1"/>
  <c r="D37" i="1"/>
  <c r="D36" i="1"/>
  <c r="D35" i="1"/>
  <c r="D34" i="1"/>
  <c r="D33" i="1"/>
  <c r="D32" i="1"/>
  <c r="D31" i="1"/>
  <c r="D30" i="1"/>
  <c r="D29" i="1"/>
  <c r="D28" i="1"/>
  <c r="D27" i="1"/>
  <c r="D26" i="1"/>
  <c r="D25" i="1"/>
  <c r="D24" i="1"/>
  <c r="D23" i="1"/>
  <c r="D22" i="1"/>
  <c r="D21" i="1"/>
  <c r="D20" i="1"/>
  <c r="D19" i="1"/>
  <c r="D18" i="1"/>
  <c r="D17" i="1"/>
  <c r="D16" i="1"/>
  <c r="D15" i="1"/>
  <c r="D13" i="1"/>
  <c r="D15" i="12"/>
  <c r="D43" i="12"/>
  <c r="D16" i="12"/>
  <c r="D17" i="12"/>
  <c r="D18" i="12"/>
  <c r="D19" i="12"/>
  <c r="D20" i="12"/>
  <c r="D21" i="12"/>
  <c r="D22" i="12"/>
  <c r="D23" i="12"/>
  <c r="D24" i="12"/>
  <c r="D25" i="12"/>
  <c r="D26" i="12"/>
  <c r="D27" i="12"/>
  <c r="D28" i="12"/>
  <c r="D29" i="12"/>
  <c r="D30" i="12"/>
  <c r="D31" i="12"/>
  <c r="D32" i="12"/>
  <c r="D33" i="12"/>
  <c r="D34" i="12"/>
  <c r="D35" i="12"/>
  <c r="D36" i="12"/>
  <c r="D37" i="12"/>
  <c r="D38" i="12"/>
  <c r="D39" i="12"/>
  <c r="D40" i="12"/>
  <c r="D41" i="12"/>
  <c r="D42" i="12"/>
  <c r="F20" i="1"/>
  <c r="H20" i="1"/>
  <c r="J20" i="1"/>
  <c r="J16" i="1"/>
  <c r="J17" i="1"/>
  <c r="J18" i="1"/>
  <c r="J19" i="1"/>
  <c r="J21" i="1"/>
  <c r="J22" i="1"/>
  <c r="J23" i="1"/>
  <c r="J24" i="1"/>
  <c r="J25" i="1"/>
  <c r="J26" i="1"/>
  <c r="J27" i="1"/>
  <c r="J28" i="1"/>
  <c r="J29" i="1"/>
  <c r="J30" i="1"/>
  <c r="J31" i="1"/>
  <c r="J32" i="1"/>
  <c r="J33" i="1"/>
  <c r="J34" i="1"/>
  <c r="J35" i="1"/>
  <c r="J36" i="1"/>
  <c r="J37" i="1"/>
  <c r="J38" i="1"/>
  <c r="J39" i="1"/>
  <c r="J40" i="1"/>
  <c r="J41" i="1"/>
  <c r="J42" i="1"/>
  <c r="J43" i="1"/>
  <c r="J44" i="1"/>
  <c r="J45" i="1"/>
  <c r="J46" i="1"/>
  <c r="J15" i="1"/>
  <c r="H16" i="1"/>
  <c r="H17" i="1"/>
  <c r="H18" i="1"/>
  <c r="H19" i="1"/>
  <c r="H21" i="1"/>
  <c r="H22" i="1"/>
  <c r="H23" i="1"/>
  <c r="H24" i="1"/>
  <c r="H25" i="1"/>
  <c r="H26" i="1"/>
  <c r="H27" i="1"/>
  <c r="H28" i="1"/>
  <c r="H29" i="1"/>
  <c r="H30" i="1"/>
  <c r="H31" i="1"/>
  <c r="H32" i="1"/>
  <c r="H33" i="1"/>
  <c r="H34" i="1"/>
  <c r="H35" i="1"/>
  <c r="H36" i="1"/>
  <c r="H37" i="1"/>
  <c r="H38" i="1"/>
  <c r="H39" i="1"/>
  <c r="H40" i="1"/>
  <c r="H41" i="1"/>
  <c r="H42" i="1"/>
  <c r="H43" i="1"/>
  <c r="H44" i="1"/>
  <c r="H45" i="1"/>
  <c r="H46" i="1"/>
  <c r="H15" i="1"/>
  <c r="F19" i="1"/>
  <c r="F16" i="1"/>
  <c r="J16" i="12" l="1"/>
  <c r="J17" i="12"/>
  <c r="J18" i="12"/>
  <c r="J19" i="12"/>
  <c r="J20" i="12"/>
  <c r="J21" i="12"/>
  <c r="J22" i="12"/>
  <c r="J23" i="12"/>
  <c r="J24" i="12"/>
  <c r="J25" i="12"/>
  <c r="J26" i="12"/>
  <c r="J27" i="12"/>
  <c r="J28" i="12"/>
  <c r="J29" i="12"/>
  <c r="J30" i="12"/>
  <c r="J31" i="12"/>
  <c r="J32" i="12"/>
  <c r="J33" i="12"/>
  <c r="J34" i="12"/>
  <c r="J35" i="12"/>
  <c r="J36" i="12"/>
  <c r="J37" i="12"/>
  <c r="J38" i="12"/>
  <c r="J39" i="12"/>
  <c r="J40" i="12"/>
  <c r="J41" i="12"/>
  <c r="J42" i="12"/>
  <c r="J43" i="12"/>
  <c r="H16" i="12"/>
  <c r="H17" i="12"/>
  <c r="H18" i="12"/>
  <c r="H19" i="12"/>
  <c r="H20" i="12"/>
  <c r="H21" i="12"/>
  <c r="H22" i="12"/>
  <c r="H23" i="12"/>
  <c r="H24" i="12"/>
  <c r="H25" i="12"/>
  <c r="H26" i="12"/>
  <c r="H27" i="12"/>
  <c r="H28" i="12"/>
  <c r="H29" i="12"/>
  <c r="H30" i="12"/>
  <c r="H31" i="12"/>
  <c r="H32" i="12"/>
  <c r="H33" i="12"/>
  <c r="H34" i="12"/>
  <c r="H35" i="12"/>
  <c r="H36" i="12"/>
  <c r="H37" i="12"/>
  <c r="H38" i="12"/>
  <c r="H39" i="12"/>
  <c r="H40" i="12"/>
  <c r="H41" i="12"/>
  <c r="H42" i="12"/>
  <c r="H43" i="12"/>
  <c r="H15" i="12"/>
  <c r="J15" i="12"/>
  <c r="F13" i="1" l="1"/>
  <c r="F46" i="1"/>
  <c r="F45" i="1"/>
  <c r="F44" i="1"/>
  <c r="F43" i="1"/>
  <c r="F42" i="1"/>
  <c r="F41" i="1"/>
  <c r="F40" i="1"/>
  <c r="F39" i="1"/>
  <c r="F38" i="1"/>
  <c r="F37" i="1"/>
  <c r="F36" i="1"/>
  <c r="F35" i="1"/>
  <c r="F34" i="1"/>
  <c r="F33" i="1"/>
  <c r="F32" i="1"/>
  <c r="F31" i="1"/>
  <c r="F30" i="1"/>
  <c r="F29" i="1"/>
  <c r="F28" i="1"/>
  <c r="F27" i="1"/>
  <c r="F26" i="1"/>
  <c r="F25" i="1"/>
  <c r="F24" i="1"/>
  <c r="F23" i="1"/>
  <c r="F22" i="1"/>
  <c r="F21" i="1"/>
  <c r="F18" i="1"/>
  <c r="F17" i="1"/>
  <c r="F15" i="1"/>
  <c r="F16" i="12"/>
  <c r="F17" i="12"/>
  <c r="F18" i="12"/>
  <c r="F19" i="12"/>
  <c r="F20" i="12"/>
  <c r="F21" i="12"/>
  <c r="F22" i="12"/>
  <c r="F23" i="12"/>
  <c r="F24" i="12"/>
  <c r="F25" i="12"/>
  <c r="F26" i="12"/>
  <c r="F27" i="12"/>
  <c r="F28" i="12"/>
  <c r="F29" i="12"/>
  <c r="F30" i="12"/>
  <c r="F31" i="12"/>
  <c r="F32" i="12"/>
  <c r="F33" i="12"/>
  <c r="F34" i="12"/>
  <c r="F35" i="12"/>
  <c r="F36" i="12"/>
  <c r="F37" i="12"/>
  <c r="F38" i="12"/>
  <c r="F39" i="12"/>
  <c r="F40" i="12"/>
  <c r="F41" i="12"/>
  <c r="F42" i="12"/>
  <c r="F43" i="12"/>
  <c r="F15" i="12"/>
  <c r="F13" i="12" l="1"/>
  <c r="B43" i="12"/>
  <c r="B42" i="12"/>
  <c r="B41" i="12"/>
  <c r="B40" i="12"/>
  <c r="B39" i="12"/>
  <c r="B38" i="12"/>
  <c r="B37" i="12"/>
  <c r="B36" i="12"/>
  <c r="B35" i="12"/>
  <c r="B34" i="12"/>
  <c r="B33" i="12"/>
  <c r="B32" i="12"/>
  <c r="B31" i="12"/>
  <c r="B30" i="12"/>
  <c r="B29" i="12"/>
  <c r="B28" i="12"/>
  <c r="B27" i="12"/>
  <c r="B26" i="12"/>
  <c r="B25" i="12"/>
  <c r="B24" i="12"/>
  <c r="B23" i="12"/>
  <c r="B22" i="12"/>
  <c r="B21" i="12"/>
  <c r="B20" i="12"/>
  <c r="B19" i="12"/>
  <c r="B18" i="12"/>
  <c r="B17" i="12"/>
  <c r="B16" i="12"/>
  <c r="B15" i="12"/>
  <c r="B14" i="12"/>
  <c r="B13" i="12"/>
  <c r="B14" i="1" l="1"/>
  <c r="B15" i="1"/>
  <c r="B17" i="1"/>
  <c r="B18" i="1"/>
  <c r="B21" i="1"/>
  <c r="B22" i="1"/>
  <c r="B23" i="1"/>
  <c r="B24" i="1"/>
  <c r="B25" i="1"/>
  <c r="B26" i="1"/>
  <c r="B27" i="1"/>
  <c r="B28" i="1"/>
  <c r="B29" i="1"/>
  <c r="B30" i="1"/>
  <c r="B31" i="1"/>
  <c r="B32" i="1"/>
  <c r="B33" i="1"/>
  <c r="B34" i="1"/>
  <c r="B35" i="1"/>
  <c r="B36" i="1"/>
  <c r="B37" i="1"/>
  <c r="B38" i="1"/>
  <c r="B39" i="1"/>
  <c r="B40" i="1"/>
  <c r="B41" i="1"/>
  <c r="B42" i="1"/>
  <c r="B43" i="1"/>
  <c r="B44" i="1"/>
  <c r="B45" i="1"/>
  <c r="B46" i="1"/>
  <c r="B1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L1" authorId="0" shapeId="0" xr:uid="{00000000-0006-0000-0100-000001000000}">
      <text>
        <r>
          <rPr>
            <b/>
            <sz val="9"/>
            <color indexed="81"/>
            <rFont val="Calibri"/>
            <family val="2"/>
            <scheme val="minor"/>
          </rPr>
          <t>If you are using an ID other than Character ID Base (Upper 2 Bytes), click the + at the top and enter the required information.</t>
        </r>
      </text>
    </comment>
    <comment ref="D4" authorId="0" shapeId="0" xr:uid="{9545BE73-2077-4565-BD63-960D04A17243}">
      <text>
        <r>
          <rPr>
            <b/>
            <sz val="9"/>
            <color indexed="81"/>
            <rFont val="Calibri"/>
            <family val="3"/>
            <charset val="128"/>
          </rPr>
          <t>If the same specifications apply to non-Japanese versions, note that non-Japanese versions such as WUP-P-XXXX(E_P) are included.
 Add values for the non-Japanese versions to the fields for Title Name, Unique ID, and Access ID.</t>
        </r>
      </text>
    </comment>
    <comment ref="G12" authorId="0" shapeId="0" xr:uid="{7496A07D-68ED-443C-8E4D-92FE0B331E54}">
      <text>
        <r>
          <rPr>
            <sz val="9"/>
            <color indexed="81"/>
            <rFont val="Calibri"/>
            <family val="3"/>
            <charset val="128"/>
          </rPr>
          <t xml:space="preserve">- When using Series ID and NFP Type, you can select a series name and an NFP type name from the lists.
- If the list does not contain a candidate name, enter it manually.
- Enter "Other" when using Series ID/NFP Type/Numbering ID for a certain character and apply the same process for others.
</t>
        </r>
      </text>
    </comment>
    <comment ref="C13" authorId="0" shapeId="0" xr:uid="{1B4C8C12-0B66-4D87-97B0-042A9C970626}">
      <text>
        <r>
          <rPr>
            <b/>
            <sz val="9"/>
            <color indexed="81"/>
            <rFont val="Calibri"/>
            <family val="3"/>
            <charset val="128"/>
          </rPr>
          <t>- Specify the character name (base).
- If the list does not contain a candidate name, enter it manually.</t>
        </r>
      </text>
    </comment>
    <comment ref="E13" authorId="0" shapeId="0" xr:uid="{8B4A6BAE-93DC-4499-B26E-E6555BBCC59A}">
      <text>
        <r>
          <rPr>
            <sz val="9"/>
            <color indexed="81"/>
            <rFont val="Calibri"/>
            <family val="3"/>
            <charset val="128"/>
          </rPr>
          <t xml:space="preserve">- Specify the character name (detailed).
- If the list does not contain a candidate name, enter it manually.
- If you do not determine using the Character ID (detailed), enter "Not determined."
- Enter "Other" when using Detail ID to determine a certain character and apply the same process for others.
</t>
        </r>
      </text>
    </comment>
  </commentList>
</comments>
</file>

<file path=xl/sharedStrings.xml><?xml version="1.0" encoding="utf-8"?>
<sst xmlns="http://schemas.openxmlformats.org/spreadsheetml/2006/main" count="2698" uniqueCount="1308">
  <si>
    <t>-</t>
    <phoneticPr fontId="2"/>
  </si>
  <si>
    <t>Tag Data</t>
  </si>
  <si>
    <t>Japanese</t>
  </si>
  <si>
    <t>US_English</t>
  </si>
  <si>
    <t>Image</t>
  </si>
  <si>
    <t>NFP Type</t>
  </si>
  <si>
    <t>Format Version</t>
  </si>
  <si>
    <t>NTF File Name</t>
  </si>
  <si>
    <t>Note</t>
  </si>
  <si>
    <t>0x0000</t>
    <phoneticPr fontId="2"/>
  </si>
  <si>
    <t>amiibo</t>
  </si>
  <si>
    <t>Product Code</t>
  </si>
  <si>
    <t>amiibo Name</t>
  </si>
  <si>
    <t>Series ID</t>
  </si>
  <si>
    <t>Character Name Base</t>
  </si>
  <si>
    <t>Character ID Base</t>
  </si>
  <si>
    <t>Status(JP)</t>
  </si>
  <si>
    <t>Status(US)</t>
  </si>
  <si>
    <t>Status(EU)</t>
  </si>
  <si>
    <t>Character ID Detail</t>
  </si>
  <si>
    <t>Character Name Detail</t>
  </si>
  <si>
    <t>Character ID</t>
  </si>
  <si>
    <t>Numbering ID</t>
  </si>
  <si>
    <t>0x0000</t>
  </si>
  <si>
    <t>0x000000</t>
  </si>
  <si>
    <t>Mario</t>
  </si>
  <si>
    <t>0x000001</t>
  </si>
  <si>
    <t>NVL-AABB_00_00.ntf</t>
  </si>
  <si>
    <t>0x0001</t>
  </si>
  <si>
    <t>0x000100</t>
  </si>
  <si>
    <t>NVL-AAAN_00_00.ntf</t>
  </si>
  <si>
    <t>Luigi</t>
  </si>
  <si>
    <t>0x00</t>
  </si>
  <si>
    <t>0x0002</t>
  </si>
  <si>
    <t>0x000200</t>
  </si>
  <si>
    <t>NVL-AAAB_00_00.ntf</t>
  </si>
  <si>
    <t>Peach</t>
  </si>
  <si>
    <t>0x0003</t>
  </si>
  <si>
    <t>0x000300</t>
  </si>
  <si>
    <t>NVL-AAAC_00_00.ntf</t>
  </si>
  <si>
    <t>Yoshi</t>
  </si>
  <si>
    <t>0x0004</t>
  </si>
  <si>
    <t>0x000401</t>
  </si>
  <si>
    <t>0x0005</t>
  </si>
  <si>
    <t>0x000500</t>
  </si>
  <si>
    <t>NVL-AAAW_00_00.ntf</t>
  </si>
  <si>
    <t>Bowser</t>
  </si>
  <si>
    <t>0x0006</t>
  </si>
  <si>
    <t>0x000600</t>
  </si>
  <si>
    <t>NVL-AAAX_00_00.ntf</t>
  </si>
  <si>
    <t>0x0007</t>
  </si>
  <si>
    <t>0x000700</t>
  </si>
  <si>
    <t>NVL-AABC_00_00.ntf</t>
  </si>
  <si>
    <t>Wario</t>
  </si>
  <si>
    <t>0x0008</t>
  </si>
  <si>
    <t>0x000800</t>
  </si>
  <si>
    <t>NVL-AAAD_00_00.ntf</t>
  </si>
  <si>
    <t>0x0009</t>
  </si>
  <si>
    <t>0x000900</t>
  </si>
  <si>
    <t>NVL-AAAP_00_00.ntf</t>
  </si>
  <si>
    <t>Diddy Kong</t>
  </si>
  <si>
    <t>0x000A</t>
  </si>
  <si>
    <t>0x000A00</t>
  </si>
  <si>
    <t>0x0100</t>
  </si>
  <si>
    <t>0x010000</t>
  </si>
  <si>
    <t>NVL-AAAE_00_00.ntf</t>
  </si>
  <si>
    <t>0x010001</t>
  </si>
  <si>
    <t>NVL-AAAY_00_00.ntf</t>
  </si>
  <si>
    <t>0x0101</t>
  </si>
  <si>
    <t>0x010100</t>
  </si>
  <si>
    <t>NVL-AAAQ_00_00.ntf</t>
  </si>
  <si>
    <t>0x010101</t>
  </si>
  <si>
    <t>NVL-AAAZ_00_00.ntf</t>
  </si>
  <si>
    <t>0x0102</t>
  </si>
  <si>
    <t>0x010201</t>
  </si>
  <si>
    <t>NVL-AABD_00_00.ntf</t>
  </si>
  <si>
    <t>0x0180</t>
  </si>
  <si>
    <t>0x018000</t>
  </si>
  <si>
    <t>0x0580</t>
  </si>
  <si>
    <t>0x058000</t>
  </si>
  <si>
    <t>NVL-AAAF_00_00.ntf</t>
  </si>
  <si>
    <t>0x0581</t>
  </si>
  <si>
    <t>0x058100</t>
  </si>
  <si>
    <t>NVL-AABE_00_00.ntf</t>
  </si>
  <si>
    <t>0x05C0</t>
  </si>
  <si>
    <t>0x05C000</t>
  </si>
  <si>
    <t>NVL-AAAG_00_00.ntf</t>
  </si>
  <si>
    <t>0x05C001</t>
  </si>
  <si>
    <t>NVL-AABF_00_00.ntf</t>
  </si>
  <si>
    <t>0x0600</t>
  </si>
  <si>
    <t>0x060000</t>
  </si>
  <si>
    <t>NVL-AAAU_00_00.ntf</t>
  </si>
  <si>
    <t>0x0640</t>
  </si>
  <si>
    <t>0x064001</t>
  </si>
  <si>
    <t>NVL-AABG_00_00.ntf</t>
  </si>
  <si>
    <t>0x06C0</t>
  </si>
  <si>
    <t>0x06C000</t>
  </si>
  <si>
    <t>NVL-AAAR_00_00.ntf</t>
  </si>
  <si>
    <t>0x0700</t>
  </si>
  <si>
    <t>0x070000</t>
  </si>
  <si>
    <t>NVL-AAAH_00_00.ntf</t>
  </si>
  <si>
    <t>Wii Fit Trainer</t>
  </si>
  <si>
    <t>0x0740</t>
  </si>
  <si>
    <t>0x074000</t>
  </si>
  <si>
    <t>NVL-AAAS_00_00.ntf</t>
  </si>
  <si>
    <t>0x0741</t>
  </si>
  <si>
    <t>0x074100</t>
  </si>
  <si>
    <t>NVL-AABJ_00_00.ntf</t>
  </si>
  <si>
    <t>0x0742</t>
  </si>
  <si>
    <t>0x074200</t>
  </si>
  <si>
    <t>NVL-AABH_00_00.ntf</t>
  </si>
  <si>
    <t>0x0780</t>
  </si>
  <si>
    <t>0x078000</t>
  </si>
  <si>
    <t>NVL-AABX_00_00.ntf</t>
  </si>
  <si>
    <t>Mr. Game &amp; Watch</t>
  </si>
  <si>
    <t>0x0781</t>
  </si>
  <si>
    <t>0x078100</t>
  </si>
  <si>
    <t>NVL-AABY_00_00.ntf</t>
  </si>
  <si>
    <t>0x0782</t>
  </si>
  <si>
    <t>0x078200</t>
  </si>
  <si>
    <t>NVL-AABZ_00_00.ntf</t>
  </si>
  <si>
    <t>0x07C0</t>
  </si>
  <si>
    <t>0x07C000</t>
  </si>
  <si>
    <t>NVL-AABK_00_00.ntf</t>
  </si>
  <si>
    <t>0x07C001</t>
  </si>
  <si>
    <t>NVL-AABL_00_00.ntf</t>
  </si>
  <si>
    <t>0x07C002</t>
  </si>
  <si>
    <t>NVL-AABM_00_00.ntf</t>
  </si>
  <si>
    <t>0x1906</t>
  </si>
  <si>
    <t>0x190600</t>
  </si>
  <si>
    <t>NVL-AABN_00_00.ntf</t>
  </si>
  <si>
    <t>0x1919</t>
  </si>
  <si>
    <t>0x191900</t>
  </si>
  <si>
    <t>NVL-AAAK_00_00.ntf</t>
  </si>
  <si>
    <t>0x1927</t>
  </si>
  <si>
    <t>0x192700</t>
  </si>
  <si>
    <t>NVL-AABQ_00_00.ntf</t>
  </si>
  <si>
    <t>0x1AC0</t>
  </si>
  <si>
    <t>0x1AC000</t>
  </si>
  <si>
    <t>NVL-AAAT_00_00.ntf</t>
  </si>
  <si>
    <t>ゲッコウガ</t>
  </si>
  <si>
    <t>0x1B92</t>
  </si>
  <si>
    <t>0x1B9200</t>
  </si>
  <si>
    <t>NVL-AABP_00_00.ntf</t>
  </si>
  <si>
    <t>Greninja</t>
  </si>
  <si>
    <t>0x1F00</t>
  </si>
  <si>
    <t>0x1F0000</t>
  </si>
  <si>
    <t>NVL-AAAL_00_00.ntf</t>
  </si>
  <si>
    <t>0x1F01</t>
  </si>
  <si>
    <t>0x1F0100</t>
  </si>
  <si>
    <t>NVL-AABR_00_00.ntf</t>
  </si>
  <si>
    <t>0x1F02</t>
  </si>
  <si>
    <t>0x1F0200</t>
  </si>
  <si>
    <t>NVL-AABS_00_00.ntf</t>
  </si>
  <si>
    <t>デデデ大王</t>
    <rPh sb="3" eb="5">
      <t>ダイオウ</t>
    </rPh>
    <phoneticPr fontId="21"/>
  </si>
  <si>
    <t>0x2100</t>
  </si>
  <si>
    <t>0x210000</t>
  </si>
  <si>
    <t>NVL-AAAM_00_00.ntf</t>
  </si>
  <si>
    <t>0x2101</t>
  </si>
  <si>
    <t>0x210100</t>
  </si>
  <si>
    <t>NVL-AABA_00_00.ntf</t>
  </si>
  <si>
    <t>0x2102</t>
  </si>
  <si>
    <t>0x210200</t>
  </si>
  <si>
    <t>NVL-AABT_00_00.ntf</t>
  </si>
  <si>
    <t>0x2103</t>
  </si>
  <si>
    <t>0x210300</t>
  </si>
  <si>
    <t>NVL-AABU_00_00.ntf</t>
  </si>
  <si>
    <t>0x2240</t>
  </si>
  <si>
    <t>0x224000</t>
  </si>
  <si>
    <t>NVL-AABV_00_00.ntf</t>
  </si>
  <si>
    <t>0x2280</t>
  </si>
  <si>
    <t>0x228000</t>
  </si>
  <si>
    <t>NVL-AABW_00_00.ntf</t>
  </si>
  <si>
    <t>0x3200</t>
  </si>
  <si>
    <t>0x320000</t>
  </si>
  <si>
    <t>NVL-AACA_00_00.ntf</t>
  </si>
  <si>
    <t>Sonic the Hedgehog</t>
  </si>
  <si>
    <t>0x3340</t>
  </si>
  <si>
    <t>0x334000</t>
  </si>
  <si>
    <t>0x3480</t>
  </si>
  <si>
    <t>0x348000</t>
  </si>
  <si>
    <t>Rosalina</t>
  </si>
  <si>
    <t>Type</t>
  </si>
  <si>
    <t>Series(JP)</t>
  </si>
  <si>
    <t>Series(EN)</t>
  </si>
  <si>
    <t>NVL-C-AAAA</t>
  </si>
  <si>
    <t>マリオ</t>
    <phoneticPr fontId="21"/>
  </si>
  <si>
    <t>NVL-C-ABAA</t>
  </si>
  <si>
    <t>NVL-C-ABAG</t>
    <phoneticPr fontId="21"/>
  </si>
  <si>
    <t>NVL-C-ABAH</t>
    <phoneticPr fontId="21"/>
  </si>
  <si>
    <t>NVL-C-AFAA</t>
    <phoneticPr fontId="21"/>
  </si>
  <si>
    <r>
      <t>NVL-C-AFA</t>
    </r>
    <r>
      <rPr>
        <sz val="11"/>
        <color theme="1"/>
        <rFont val="Calibri"/>
        <family val="2"/>
        <charset val="128"/>
        <scheme val="minor"/>
      </rPr>
      <t>B</t>
    </r>
    <phoneticPr fontId="21"/>
  </si>
  <si>
    <t>NVL-C-ABAT</t>
    <phoneticPr fontId="21"/>
  </si>
  <si>
    <t>NVL-C-AABB</t>
  </si>
  <si>
    <t>NVL-C-ABAW</t>
    <phoneticPr fontId="21"/>
  </si>
  <si>
    <t>NVL-C-AAAN</t>
  </si>
  <si>
    <t>ルイージ</t>
    <phoneticPr fontId="21"/>
  </si>
  <si>
    <t>NVL-C-ABAB</t>
  </si>
  <si>
    <t>NVL-C-AAAB</t>
  </si>
  <si>
    <t>ピーチ</t>
    <phoneticPr fontId="21"/>
  </si>
  <si>
    <t>NVL-C-ABAC</t>
  </si>
  <si>
    <t>NVL-C-ABAU</t>
    <phoneticPr fontId="21"/>
  </si>
  <si>
    <t>NVL-C-ABAX</t>
    <phoneticPr fontId="21"/>
  </si>
  <si>
    <t>NVL-C-AAAC</t>
  </si>
  <si>
    <t>ヨッシー</t>
    <phoneticPr fontId="21"/>
  </si>
  <si>
    <t>NVL-C-ABAD</t>
  </si>
  <si>
    <r>
      <t>NVL-C-</t>
    </r>
    <r>
      <rPr>
        <sz val="11"/>
        <color theme="1"/>
        <rFont val="Calibri"/>
        <family val="2"/>
        <charset val="128"/>
        <scheme val="minor"/>
      </rPr>
      <t>YAAA</t>
    </r>
    <phoneticPr fontId="21"/>
  </si>
  <si>
    <t>NVL-C-YAAB</t>
    <phoneticPr fontId="21"/>
  </si>
  <si>
    <t>NVL-C-YAAC</t>
    <phoneticPr fontId="21"/>
  </si>
  <si>
    <t>NVL-C-YAAD</t>
    <phoneticPr fontId="21"/>
  </si>
  <si>
    <r>
      <t>NVL-C-A</t>
    </r>
    <r>
      <rPr>
        <sz val="11"/>
        <color theme="1"/>
        <rFont val="Calibri"/>
        <family val="2"/>
        <charset val="128"/>
        <scheme val="minor"/>
      </rPr>
      <t>BAJ</t>
    </r>
    <phoneticPr fontId="21"/>
  </si>
  <si>
    <t>ロゼッタ</t>
    <phoneticPr fontId="21"/>
  </si>
  <si>
    <t>NVL-C-AAAV</t>
  </si>
  <si>
    <t>NVL-C-AAAW</t>
  </si>
  <si>
    <t>クッパ</t>
    <phoneticPr fontId="21"/>
  </si>
  <si>
    <t>NVL-C-ABAF</t>
    <phoneticPr fontId="21"/>
  </si>
  <si>
    <t>NVL-C-ABAV</t>
    <phoneticPr fontId="21"/>
  </si>
  <si>
    <t>NVL-C-AAAX</t>
  </si>
  <si>
    <t>クッパJr.</t>
    <phoneticPr fontId="21"/>
  </si>
  <si>
    <t>NVL-C-AABC</t>
  </si>
  <si>
    <t>ワリオ</t>
    <phoneticPr fontId="21"/>
  </si>
  <si>
    <t>NVL-C-ABAK</t>
    <phoneticPr fontId="21"/>
  </si>
  <si>
    <t>NVL-C-AAAD</t>
  </si>
  <si>
    <t>ドンキーコング</t>
    <phoneticPr fontId="21"/>
  </si>
  <si>
    <t>NVL-C-ABAL</t>
    <phoneticPr fontId="21"/>
  </si>
  <si>
    <t>NVL-C-AAAP</t>
  </si>
  <si>
    <t>ディディーコング</t>
    <phoneticPr fontId="21"/>
  </si>
  <si>
    <t>NVL-C-ABAM</t>
    <phoneticPr fontId="21"/>
  </si>
  <si>
    <t>NVL-C-ABAE</t>
  </si>
  <si>
    <t>キノピオ</t>
    <phoneticPr fontId="21"/>
  </si>
  <si>
    <t>NVL-C-ABAN</t>
    <phoneticPr fontId="21"/>
  </si>
  <si>
    <t>デイジー</t>
    <phoneticPr fontId="21"/>
  </si>
  <si>
    <r>
      <t>NVL-C-</t>
    </r>
    <r>
      <rPr>
        <sz val="11"/>
        <color theme="1"/>
        <rFont val="Calibri"/>
        <family val="2"/>
        <charset val="128"/>
        <scheme val="minor"/>
      </rPr>
      <t>AACR</t>
    </r>
    <phoneticPr fontId="21"/>
  </si>
  <si>
    <t>NVL-C-ABAP</t>
    <phoneticPr fontId="21"/>
  </si>
  <si>
    <t>ワルイージ</t>
    <phoneticPr fontId="21"/>
  </si>
  <si>
    <t>NVL-C-ABAR</t>
    <phoneticPr fontId="21"/>
  </si>
  <si>
    <t>クリボー</t>
    <phoneticPr fontId="21"/>
  </si>
  <si>
    <t>NVL-C-ABAQ</t>
    <phoneticPr fontId="21"/>
  </si>
  <si>
    <t>テレサ</t>
    <phoneticPr fontId="21"/>
  </si>
  <si>
    <t>NVL-C-ABAS</t>
    <phoneticPr fontId="21"/>
  </si>
  <si>
    <t>ノコノコ</t>
    <phoneticPr fontId="21"/>
  </si>
  <si>
    <r>
      <t>NVL-C-</t>
    </r>
    <r>
      <rPr>
        <sz val="11"/>
        <color theme="1"/>
        <rFont val="Calibri"/>
        <family val="2"/>
        <charset val="128"/>
        <scheme val="minor"/>
      </rPr>
      <t>AADL</t>
    </r>
    <phoneticPr fontId="21"/>
  </si>
  <si>
    <t>パックンフラワー</t>
    <phoneticPr fontId="21"/>
  </si>
  <si>
    <t>NVL-C-YAAE</t>
    <phoneticPr fontId="21"/>
  </si>
  <si>
    <r>
      <t>NVL-C-</t>
    </r>
    <r>
      <rPr>
        <sz val="11"/>
        <color theme="1"/>
        <rFont val="Calibri"/>
        <family val="2"/>
        <charset val="128"/>
        <scheme val="minor"/>
      </rPr>
      <t>AACS</t>
    </r>
    <phoneticPr fontId="21"/>
  </si>
  <si>
    <t>キングクルール</t>
    <phoneticPr fontId="21"/>
  </si>
  <si>
    <t>NVL-C-AAAE</t>
  </si>
  <si>
    <t>リンク</t>
    <phoneticPr fontId="21"/>
  </si>
  <si>
    <t>NVL-C-AKAB</t>
  </si>
  <si>
    <t>NVL-C-AKAC</t>
    <phoneticPr fontId="21"/>
  </si>
  <si>
    <t>NVL-C-AKAD</t>
  </si>
  <si>
    <t>NVL-C-AKAE</t>
  </si>
  <si>
    <t>NVL-C-AKAF</t>
    <phoneticPr fontId="21"/>
  </si>
  <si>
    <t>NVL-C-AKAK</t>
    <phoneticPr fontId="21"/>
  </si>
  <si>
    <t>NVL-C-AKAL</t>
    <phoneticPr fontId="21"/>
  </si>
  <si>
    <r>
      <t>NVL-C-</t>
    </r>
    <r>
      <rPr>
        <sz val="11"/>
        <color theme="1"/>
        <rFont val="Calibri"/>
        <family val="2"/>
        <charset val="128"/>
        <scheme val="minor"/>
      </rPr>
      <t>AACT</t>
    </r>
    <phoneticPr fontId="21"/>
  </si>
  <si>
    <t>NVL-C-AKAV</t>
    <phoneticPr fontId="21"/>
  </si>
  <si>
    <t>NVL-C-AAAY</t>
  </si>
  <si>
    <t>NVL-C-AKAG</t>
  </si>
  <si>
    <t>NVL-C-AAAQ</t>
  </si>
  <si>
    <t>ゼルダ</t>
    <phoneticPr fontId="21"/>
  </si>
  <si>
    <t>NVL-C-AKAJ</t>
  </si>
  <si>
    <t>NVL-C-AKAN</t>
    <phoneticPr fontId="21"/>
  </si>
  <si>
    <t>NVL-C-AAAZ</t>
  </si>
  <si>
    <t>NVL-C-AKAW</t>
    <phoneticPr fontId="21"/>
  </si>
  <si>
    <t>NVL-C-AABD</t>
  </si>
  <si>
    <t>NVL-C-AKAA</t>
    <phoneticPr fontId="21"/>
  </si>
  <si>
    <t>ウルフリンク</t>
    <phoneticPr fontId="21"/>
  </si>
  <si>
    <t>NVL-C-AKAQ</t>
    <phoneticPr fontId="21"/>
  </si>
  <si>
    <t>ダルケル</t>
    <phoneticPr fontId="21"/>
  </si>
  <si>
    <t>NVL-C-AKAR</t>
    <phoneticPr fontId="21"/>
  </si>
  <si>
    <t>ウルボザ</t>
    <phoneticPr fontId="21"/>
  </si>
  <si>
    <t>NVL-C-AKAS</t>
  </si>
  <si>
    <t>ミファー</t>
    <phoneticPr fontId="21"/>
  </si>
  <si>
    <t>NVL-C-AKAT</t>
    <phoneticPr fontId="21"/>
  </si>
  <si>
    <t>リーバル</t>
    <phoneticPr fontId="21"/>
  </si>
  <si>
    <t>NVL-C-AKAM</t>
    <phoneticPr fontId="21"/>
  </si>
  <si>
    <t>ガーディアン</t>
    <phoneticPr fontId="21"/>
  </si>
  <si>
    <t>NVL-C-AKAU</t>
    <phoneticPr fontId="21"/>
  </si>
  <si>
    <t>ボコブリン</t>
    <phoneticPr fontId="21"/>
  </si>
  <si>
    <t>NVL-C-AAAJ</t>
  </si>
  <si>
    <t>むらびと</t>
    <phoneticPr fontId="21"/>
  </si>
  <si>
    <r>
      <t>NVL-C-A</t>
    </r>
    <r>
      <rPr>
        <sz val="11"/>
        <color theme="1"/>
        <rFont val="Calibri"/>
        <family val="2"/>
        <charset val="128"/>
        <scheme val="minor"/>
      </rPr>
      <t>JAN</t>
    </r>
    <phoneticPr fontId="21"/>
  </si>
  <si>
    <t>しずえ</t>
    <phoneticPr fontId="21"/>
  </si>
  <si>
    <r>
      <t>NVL-C-</t>
    </r>
    <r>
      <rPr>
        <sz val="11"/>
        <color theme="1"/>
        <rFont val="Calibri"/>
        <family val="2"/>
        <charset val="128"/>
        <scheme val="minor"/>
      </rPr>
      <t>AACU</t>
    </r>
    <phoneticPr fontId="21"/>
  </si>
  <si>
    <t>NVL-C-AJAA</t>
    <phoneticPr fontId="21"/>
  </si>
  <si>
    <t>NVL-C-AJAB</t>
    <phoneticPr fontId="21"/>
  </si>
  <si>
    <t>とたけけ</t>
    <phoneticPr fontId="21"/>
  </si>
  <si>
    <t>NVL-C-AJAD</t>
    <phoneticPr fontId="21"/>
  </si>
  <si>
    <t>たぬきち</t>
    <phoneticPr fontId="2"/>
  </si>
  <si>
    <t>NVL-C-AJAQ</t>
    <phoneticPr fontId="21"/>
  </si>
  <si>
    <t>まめきち＆つぶきち</t>
    <phoneticPr fontId="2"/>
  </si>
  <si>
    <t>NVL-C-AJAC</t>
    <phoneticPr fontId="21"/>
  </si>
  <si>
    <t>きぬよ</t>
    <phoneticPr fontId="2"/>
  </si>
  <si>
    <t>NVL-C-AJAG</t>
    <phoneticPr fontId="21"/>
  </si>
  <si>
    <t>リサ</t>
    <phoneticPr fontId="2"/>
  </si>
  <si>
    <t>NVL-C-AJAH</t>
    <phoneticPr fontId="21"/>
  </si>
  <si>
    <t>カイゾー</t>
    <phoneticPr fontId="2"/>
  </si>
  <si>
    <t>NVL-C-AJAE</t>
    <phoneticPr fontId="21"/>
  </si>
  <si>
    <t>ケント</t>
    <phoneticPr fontId="2"/>
  </si>
  <si>
    <t>NVL-C-AJAP</t>
    <phoneticPr fontId="21"/>
  </si>
  <si>
    <t>みしらぬネコ</t>
    <phoneticPr fontId="2"/>
  </si>
  <si>
    <t>NVL-C-AJAL</t>
    <phoneticPr fontId="21"/>
  </si>
  <si>
    <t>リセットさん</t>
    <phoneticPr fontId="2"/>
  </si>
  <si>
    <t>NVL-C-AJAJ</t>
    <phoneticPr fontId="21"/>
  </si>
  <si>
    <t>フータ</t>
    <phoneticPr fontId="2"/>
  </si>
  <si>
    <t>NVL-C-AJAK</t>
    <phoneticPr fontId="21"/>
  </si>
  <si>
    <t>フーコ</t>
    <phoneticPr fontId="2"/>
  </si>
  <si>
    <t>NVL-C-AJAM</t>
    <phoneticPr fontId="21"/>
  </si>
  <si>
    <t>シャンク</t>
    <phoneticPr fontId="2"/>
  </si>
  <si>
    <t>NVL-C-AJAR</t>
    <phoneticPr fontId="21"/>
  </si>
  <si>
    <t>かっぺい</t>
    <phoneticPr fontId="2"/>
  </si>
  <si>
    <t>NVL-C-AJAF</t>
    <phoneticPr fontId="21"/>
  </si>
  <si>
    <t>タクミ</t>
    <phoneticPr fontId="2"/>
  </si>
  <si>
    <t>NVL-C-AAAF</t>
  </si>
  <si>
    <t>フォックス</t>
    <phoneticPr fontId="21"/>
  </si>
  <si>
    <t>NVL-C-AABE</t>
  </si>
  <si>
    <t>ファルコ</t>
    <phoneticPr fontId="21"/>
  </si>
  <si>
    <r>
      <t>NVL-C-</t>
    </r>
    <r>
      <rPr>
        <sz val="11"/>
        <color theme="1"/>
        <rFont val="Calibri"/>
        <family val="2"/>
        <charset val="128"/>
        <scheme val="minor"/>
      </rPr>
      <t>AACV</t>
    </r>
    <phoneticPr fontId="21"/>
  </si>
  <si>
    <t>ウルフ</t>
    <phoneticPr fontId="21"/>
  </si>
  <si>
    <t>NVL-C-AAAG</t>
  </si>
  <si>
    <t>サムス</t>
    <phoneticPr fontId="21"/>
  </si>
  <si>
    <t>NVL-C-ARAA</t>
    <phoneticPr fontId="21"/>
  </si>
  <si>
    <t>NVL-C-ARAC</t>
    <phoneticPr fontId="21"/>
  </si>
  <si>
    <t>NVL-C-AABF</t>
  </si>
  <si>
    <t>NVL-C-ARAB</t>
    <phoneticPr fontId="21"/>
  </si>
  <si>
    <t>メトロイド</t>
    <phoneticPr fontId="21"/>
  </si>
  <si>
    <r>
      <t>NVL-C-</t>
    </r>
    <r>
      <rPr>
        <sz val="11"/>
        <color theme="1"/>
        <rFont val="Calibri"/>
        <family val="2"/>
        <charset val="128"/>
        <scheme val="minor"/>
      </rPr>
      <t>AACW</t>
    </r>
    <phoneticPr fontId="21"/>
  </si>
  <si>
    <t>リドリー</t>
    <phoneticPr fontId="21"/>
  </si>
  <si>
    <r>
      <t>NVL-C-</t>
    </r>
    <r>
      <rPr>
        <sz val="11"/>
        <color theme="1"/>
        <rFont val="Calibri"/>
        <family val="2"/>
        <charset val="128"/>
        <scheme val="minor"/>
      </rPr>
      <t>AACX</t>
    </r>
    <phoneticPr fontId="21"/>
  </si>
  <si>
    <t>ダークサムス</t>
    <phoneticPr fontId="21"/>
  </si>
  <si>
    <t>NVL-C-ARAD</t>
    <phoneticPr fontId="21"/>
  </si>
  <si>
    <t>E.M.M.I.</t>
    <phoneticPr fontId="21"/>
  </si>
  <si>
    <t>NVL-C-AAAU</t>
  </si>
  <si>
    <t>キャプテン・ファルコン</t>
    <phoneticPr fontId="21"/>
  </si>
  <si>
    <t>NVL-C-AABG</t>
  </si>
  <si>
    <t>NVL-C-APAA</t>
    <phoneticPr fontId="21"/>
  </si>
  <si>
    <t>ピクミン</t>
    <phoneticPr fontId="21"/>
  </si>
  <si>
    <t>NVL-C-AAAR</t>
  </si>
  <si>
    <t>リトル・マック</t>
    <phoneticPr fontId="21"/>
  </si>
  <si>
    <t>NVL-C-AAAH</t>
  </si>
  <si>
    <t>Wii Fit トレーナー</t>
    <phoneticPr fontId="24"/>
  </si>
  <si>
    <t>NVL-C-AAAS</t>
  </si>
  <si>
    <t>ピット</t>
    <phoneticPr fontId="21"/>
  </si>
  <si>
    <t>NVL-C-AABJ</t>
  </si>
  <si>
    <t>ブラックピット</t>
    <phoneticPr fontId="21"/>
  </si>
  <si>
    <t>NVL-C-AABH</t>
  </si>
  <si>
    <t>パルテナ</t>
    <phoneticPr fontId="21"/>
  </si>
  <si>
    <t>NVL-C-AABX</t>
  </si>
  <si>
    <t>Mr.ゲーム＆ウォッチ</t>
    <phoneticPr fontId="24"/>
  </si>
  <si>
    <t>NVL-C-AABY</t>
  </si>
  <si>
    <t>ロボット</t>
    <phoneticPr fontId="21"/>
  </si>
  <si>
    <t>NVL-C-AACD</t>
  </si>
  <si>
    <t>NVL-C-AABZ</t>
  </si>
  <si>
    <t>ダックハント</t>
    <phoneticPr fontId="21"/>
  </si>
  <si>
    <r>
      <t>NVL-C-</t>
    </r>
    <r>
      <rPr>
        <sz val="11"/>
        <color theme="1"/>
        <rFont val="Calibri"/>
        <family val="2"/>
        <charset val="128"/>
        <scheme val="minor"/>
      </rPr>
      <t>AACY</t>
    </r>
    <phoneticPr fontId="21"/>
  </si>
  <si>
    <t>アイスクライマー</t>
    <phoneticPr fontId="21"/>
  </si>
  <si>
    <t>NVL-C-AABK</t>
  </si>
  <si>
    <t>Mii 格闘タイプ</t>
    <rPh sb="4" eb="6">
      <t>カクトウ</t>
    </rPh>
    <phoneticPr fontId="21"/>
  </si>
  <si>
    <t>NVL-C-AABL</t>
  </si>
  <si>
    <t>NVL-C-AABM</t>
  </si>
  <si>
    <t>NVL-C-AEAA</t>
    <phoneticPr fontId="21"/>
  </si>
  <si>
    <t>NVL-C-AEAF</t>
    <phoneticPr fontId="21"/>
  </si>
  <si>
    <t>NVL-C-AEAJ</t>
    <phoneticPr fontId="21"/>
  </si>
  <si>
    <r>
      <t>NVL-C-</t>
    </r>
    <r>
      <rPr>
        <sz val="11"/>
        <color theme="1"/>
        <rFont val="Calibri"/>
        <family val="2"/>
        <charset val="128"/>
        <scheme val="minor"/>
      </rPr>
      <t>AACZ</t>
    </r>
    <phoneticPr fontId="21"/>
  </si>
  <si>
    <t>NVL-C-AEAB</t>
    <phoneticPr fontId="21"/>
  </si>
  <si>
    <t>NVL-C-AEAG</t>
    <phoneticPr fontId="21"/>
  </si>
  <si>
    <t>NVL-C-AEAK</t>
    <phoneticPr fontId="21"/>
  </si>
  <si>
    <t>NVL-C-AEAC</t>
    <phoneticPr fontId="21"/>
  </si>
  <si>
    <t>NVL-C-AEAH</t>
    <phoneticPr fontId="21"/>
  </si>
  <si>
    <t>NVL-C-AEAL</t>
    <phoneticPr fontId="21"/>
  </si>
  <si>
    <t>NVL-C-AEAD</t>
    <phoneticPr fontId="21"/>
  </si>
  <si>
    <t>アオリ</t>
    <phoneticPr fontId="21"/>
  </si>
  <si>
    <t>NVL-C-AEAE</t>
    <phoneticPr fontId="21"/>
  </si>
  <si>
    <t>ホタル</t>
    <phoneticPr fontId="21"/>
  </si>
  <si>
    <t>NVL-C-AEAM</t>
    <phoneticPr fontId="21"/>
  </si>
  <si>
    <t>ヒメ</t>
    <phoneticPr fontId="21"/>
  </si>
  <si>
    <t>NVL-C-AEAN</t>
    <phoneticPr fontId="21"/>
  </si>
  <si>
    <t>イイダ</t>
    <phoneticPr fontId="21"/>
  </si>
  <si>
    <t>NVL-C-AEAP</t>
    <phoneticPr fontId="21"/>
  </si>
  <si>
    <t>NVL-C-AEAQ</t>
  </si>
  <si>
    <t>NVL-C-AEAR</t>
  </si>
  <si>
    <t>NVL-C-AADS</t>
    <phoneticPr fontId="21"/>
  </si>
  <si>
    <t>ミェンミェン</t>
    <phoneticPr fontId="21"/>
  </si>
  <si>
    <r>
      <t>NVL-C-</t>
    </r>
    <r>
      <rPr>
        <sz val="11"/>
        <color theme="1"/>
        <rFont val="Calibri"/>
        <family val="2"/>
        <charset val="128"/>
        <scheme val="minor"/>
      </rPr>
      <t>AADA</t>
    </r>
    <phoneticPr fontId="21"/>
  </si>
  <si>
    <t>フシギソウ</t>
  </si>
  <si>
    <t>NVL-C-AABN</t>
  </si>
  <si>
    <t>リザードン</t>
    <phoneticPr fontId="21"/>
  </si>
  <si>
    <r>
      <t>NVL-C-</t>
    </r>
    <r>
      <rPr>
        <sz val="11"/>
        <color theme="1"/>
        <rFont val="Calibri"/>
        <family val="2"/>
        <charset val="128"/>
        <scheme val="minor"/>
      </rPr>
      <t>AADB</t>
    </r>
    <phoneticPr fontId="21"/>
  </si>
  <si>
    <t>ゼニガメ</t>
  </si>
  <si>
    <t>NVL-C-AAAK</t>
  </si>
  <si>
    <t>ピカチュウ</t>
    <phoneticPr fontId="21"/>
  </si>
  <si>
    <t>NVL-C-AABQ</t>
  </si>
  <si>
    <t>プリン</t>
    <phoneticPr fontId="21"/>
  </si>
  <si>
    <t>NVL-C-AACE</t>
    <phoneticPr fontId="21"/>
  </si>
  <si>
    <t>ミュウツー</t>
  </si>
  <si>
    <r>
      <t>NVL-C-</t>
    </r>
    <r>
      <rPr>
        <sz val="11"/>
        <color theme="1"/>
        <rFont val="Calibri"/>
        <family val="2"/>
        <charset val="128"/>
        <scheme val="minor"/>
      </rPr>
      <t>AADC</t>
    </r>
    <phoneticPr fontId="21"/>
  </si>
  <si>
    <t>ピチュー</t>
  </si>
  <si>
    <t>NVL-C-AAAT</t>
  </si>
  <si>
    <t>ルカリオ</t>
    <phoneticPr fontId="21"/>
  </si>
  <si>
    <t>NVL-C-AABP</t>
  </si>
  <si>
    <r>
      <t>NVL-C-</t>
    </r>
    <r>
      <rPr>
        <sz val="11"/>
        <color theme="1"/>
        <rFont val="Calibri"/>
        <family val="2"/>
        <charset val="128"/>
        <scheme val="minor"/>
      </rPr>
      <t>AADD</t>
    </r>
    <phoneticPr fontId="21"/>
  </si>
  <si>
    <t>ガオガエン</t>
    <phoneticPr fontId="21"/>
  </si>
  <si>
    <r>
      <t>NVL-C-</t>
    </r>
    <r>
      <rPr>
        <sz val="11"/>
        <color theme="1"/>
        <rFont val="Calibri"/>
        <family val="2"/>
        <charset val="128"/>
        <scheme val="minor"/>
      </rPr>
      <t>ASAA</t>
    </r>
    <phoneticPr fontId="21"/>
  </si>
  <si>
    <t>名探偵ピカチュウ</t>
    <rPh sb="0" eb="3">
      <t>メイタンテイ</t>
    </rPh>
    <phoneticPr fontId="21"/>
  </si>
  <si>
    <r>
      <t>NVL-C-</t>
    </r>
    <r>
      <rPr>
        <sz val="11"/>
        <color theme="1"/>
        <rFont val="Calibri"/>
        <family val="2"/>
        <charset val="128"/>
        <scheme val="minor"/>
      </rPr>
      <t>AADE</t>
    </r>
    <phoneticPr fontId="21"/>
  </si>
  <si>
    <t>ポケモントレーナー</t>
    <phoneticPr fontId="21"/>
  </si>
  <si>
    <t>NVL-C-AAAL</t>
  </si>
  <si>
    <t>カービィ</t>
    <phoneticPr fontId="21"/>
  </si>
  <si>
    <t>NVL-C-ALAA</t>
    <phoneticPr fontId="21"/>
  </si>
  <si>
    <t>NVL-C-AABR</t>
  </si>
  <si>
    <t>メタナイト</t>
    <phoneticPr fontId="21"/>
  </si>
  <si>
    <t>NVL-C-ALAB</t>
    <phoneticPr fontId="21"/>
  </si>
  <si>
    <t>NVL-C-AABS</t>
  </si>
  <si>
    <t>NVL-C-ALAC</t>
    <phoneticPr fontId="21"/>
  </si>
  <si>
    <t>NVL-C-ALAD</t>
    <phoneticPr fontId="21"/>
  </si>
  <si>
    <t>ワドルディ</t>
    <phoneticPr fontId="21"/>
  </si>
  <si>
    <t>NVL-C-ANAA</t>
    <phoneticPr fontId="21"/>
  </si>
  <si>
    <t>キュービィ</t>
    <phoneticPr fontId="21"/>
  </si>
  <si>
    <t>NVL-C-AAAM</t>
  </si>
  <si>
    <t>マルス</t>
    <phoneticPr fontId="21"/>
  </si>
  <si>
    <t>NVL-C-AABA</t>
  </si>
  <si>
    <t>アイク</t>
    <phoneticPr fontId="21"/>
  </si>
  <si>
    <t>NVL-C-AABT</t>
  </si>
  <si>
    <t>ルキナ</t>
    <phoneticPr fontId="21"/>
  </si>
  <si>
    <t>NVL-C-AABU</t>
  </si>
  <si>
    <t>ルフレ</t>
    <phoneticPr fontId="21"/>
  </si>
  <si>
    <r>
      <t>N</t>
    </r>
    <r>
      <rPr>
        <sz val="11"/>
        <color theme="1"/>
        <rFont val="Calibri"/>
        <family val="2"/>
        <charset val="128"/>
        <scheme val="minor"/>
      </rPr>
      <t>VL-C-AACG</t>
    </r>
    <phoneticPr fontId="21"/>
  </si>
  <si>
    <t>ロイ</t>
    <phoneticPr fontId="21"/>
  </si>
  <si>
    <t>NVL-C-AACL</t>
    <phoneticPr fontId="21"/>
  </si>
  <si>
    <t>カムイ</t>
    <phoneticPr fontId="21"/>
  </si>
  <si>
    <t>NVL-C-AACP</t>
    <phoneticPr fontId="21"/>
  </si>
  <si>
    <t>NVL-C-AQAA</t>
    <phoneticPr fontId="21"/>
  </si>
  <si>
    <t>アルム</t>
    <phoneticPr fontId="21"/>
  </si>
  <si>
    <t>NVL-C-AQAB</t>
    <phoneticPr fontId="21"/>
  </si>
  <si>
    <t>セリカ</t>
    <phoneticPr fontId="21"/>
  </si>
  <si>
    <t>NVL-C-AQAC</t>
    <phoneticPr fontId="21"/>
  </si>
  <si>
    <t>クロム</t>
    <phoneticPr fontId="21"/>
  </si>
  <si>
    <r>
      <t>NVL-C-</t>
    </r>
    <r>
      <rPr>
        <sz val="11"/>
        <color theme="1"/>
        <rFont val="Calibri"/>
        <family val="2"/>
        <charset val="128"/>
        <scheme val="minor"/>
      </rPr>
      <t>AADF</t>
    </r>
    <phoneticPr fontId="21"/>
  </si>
  <si>
    <t>NVL-C-AQAD</t>
    <phoneticPr fontId="21"/>
  </si>
  <si>
    <t>チキ</t>
    <phoneticPr fontId="21"/>
  </si>
  <si>
    <r>
      <t>NVL-C-</t>
    </r>
    <r>
      <rPr>
        <sz val="11"/>
        <color theme="1"/>
        <rFont val="Calibri"/>
        <family val="2"/>
        <charset val="128"/>
        <scheme val="minor"/>
      </rPr>
      <t>AADR</t>
    </r>
    <phoneticPr fontId="21"/>
  </si>
  <si>
    <t>ベレト</t>
    <phoneticPr fontId="21"/>
  </si>
  <si>
    <t>NVL-C-AABV</t>
  </si>
  <si>
    <t>シュルク</t>
    <phoneticPr fontId="21"/>
  </si>
  <si>
    <t>NVL-C-AABW</t>
  </si>
  <si>
    <t>ネス</t>
    <phoneticPr fontId="21"/>
  </si>
  <si>
    <r>
      <t>N</t>
    </r>
    <r>
      <rPr>
        <sz val="11"/>
        <color theme="1"/>
        <rFont val="Calibri"/>
        <family val="2"/>
        <charset val="128"/>
        <scheme val="minor"/>
      </rPr>
      <t>VL-C-AACF</t>
    </r>
    <phoneticPr fontId="21"/>
  </si>
  <si>
    <t>リュカ</t>
    <phoneticPr fontId="21"/>
  </si>
  <si>
    <t>NVL-C-ACAA</t>
    <phoneticPr fontId="21"/>
  </si>
  <si>
    <t>ちびロボ</t>
    <phoneticPr fontId="21"/>
  </si>
  <si>
    <t>NVL-C-AACA</t>
  </si>
  <si>
    <t>ソニック</t>
    <phoneticPr fontId="21"/>
  </si>
  <si>
    <t>NVL-C-AACM</t>
    <phoneticPr fontId="21"/>
  </si>
  <si>
    <t>ベヨネッタ</t>
    <phoneticPr fontId="21"/>
  </si>
  <si>
    <t>NVL-C-AACQ</t>
    <phoneticPr fontId="21"/>
  </si>
  <si>
    <t>NVL-C-AACC</t>
  </si>
  <si>
    <t>パックマン</t>
    <phoneticPr fontId="21"/>
  </si>
  <si>
    <t>NVL-C-AACB</t>
  </si>
  <si>
    <t>ロックマン</t>
    <phoneticPr fontId="21"/>
  </si>
  <si>
    <t>NVL-C-AACH</t>
    <phoneticPr fontId="21"/>
  </si>
  <si>
    <t>リュウ</t>
    <phoneticPr fontId="21"/>
  </si>
  <si>
    <r>
      <t>NVL-C-</t>
    </r>
    <r>
      <rPr>
        <sz val="11"/>
        <color theme="1"/>
        <rFont val="Calibri"/>
        <family val="2"/>
        <charset val="128"/>
        <scheme val="minor"/>
      </rPr>
      <t>AADG</t>
    </r>
    <phoneticPr fontId="21"/>
  </si>
  <si>
    <t>ケン</t>
    <phoneticPr fontId="21"/>
  </si>
  <si>
    <t>NVL-C-AACK</t>
    <phoneticPr fontId="21"/>
  </si>
  <si>
    <t>クラウド</t>
    <phoneticPr fontId="21"/>
  </si>
  <si>
    <t>NVL-C-AACN</t>
    <phoneticPr fontId="21"/>
  </si>
  <si>
    <r>
      <t>NVL-C-</t>
    </r>
    <r>
      <rPr>
        <sz val="11"/>
        <color theme="1"/>
        <rFont val="Calibri"/>
        <family val="2"/>
        <charset val="128"/>
        <scheme val="minor"/>
      </rPr>
      <t>AADN</t>
    </r>
    <phoneticPr fontId="21"/>
  </si>
  <si>
    <t>勇者</t>
    <rPh sb="0" eb="2">
      <t>ユウシャ</t>
    </rPh>
    <phoneticPr fontId="21"/>
  </si>
  <si>
    <r>
      <t>NVL-C-</t>
    </r>
    <r>
      <rPr>
        <sz val="11"/>
        <color theme="1"/>
        <rFont val="Calibri"/>
        <family val="2"/>
        <charset val="128"/>
        <scheme val="minor"/>
      </rPr>
      <t>AADH</t>
    </r>
    <phoneticPr fontId="21"/>
  </si>
  <si>
    <t>スネーク</t>
    <phoneticPr fontId="21"/>
  </si>
  <si>
    <r>
      <t>NVL-C-</t>
    </r>
    <r>
      <rPr>
        <sz val="11"/>
        <color theme="1"/>
        <rFont val="Calibri"/>
        <family val="2"/>
        <charset val="128"/>
        <scheme val="minor"/>
      </rPr>
      <t>AADJ</t>
    </r>
    <phoneticPr fontId="21"/>
  </si>
  <si>
    <t>シモン</t>
    <phoneticPr fontId="21"/>
  </si>
  <si>
    <r>
      <t>NVL-C-</t>
    </r>
    <r>
      <rPr>
        <sz val="11"/>
        <color theme="1"/>
        <rFont val="Calibri"/>
        <family val="2"/>
        <charset val="128"/>
        <scheme val="minor"/>
      </rPr>
      <t>AADK</t>
    </r>
    <phoneticPr fontId="21"/>
  </si>
  <si>
    <t>リヒター</t>
    <phoneticPr fontId="21"/>
  </si>
  <si>
    <r>
      <t>NVL-C-</t>
    </r>
    <r>
      <rPr>
        <sz val="11"/>
        <color theme="1"/>
        <rFont val="Calibri"/>
        <family val="2"/>
        <charset val="128"/>
        <scheme val="minor"/>
      </rPr>
      <t>AADM</t>
    </r>
    <phoneticPr fontId="21"/>
  </si>
  <si>
    <t>ジョーカー</t>
    <phoneticPr fontId="21"/>
  </si>
  <si>
    <r>
      <t>NVL-C-</t>
    </r>
    <r>
      <rPr>
        <sz val="11"/>
        <color theme="1"/>
        <rFont val="Calibri"/>
        <family val="2"/>
        <charset val="128"/>
        <scheme val="minor"/>
      </rPr>
      <t>AADP</t>
    </r>
    <phoneticPr fontId="21"/>
  </si>
  <si>
    <t>バンジョー＆カズーイ</t>
    <phoneticPr fontId="21"/>
  </si>
  <si>
    <r>
      <t>NVL-C-</t>
    </r>
    <r>
      <rPr>
        <sz val="11"/>
        <color theme="1"/>
        <rFont val="Calibri"/>
        <family val="2"/>
        <charset val="128"/>
        <scheme val="minor"/>
      </rPr>
      <t>AADQ</t>
    </r>
    <phoneticPr fontId="21"/>
  </si>
  <si>
    <t>テリー</t>
    <phoneticPr fontId="21"/>
  </si>
  <si>
    <t>NVL-AAAA_00_00.ntf</t>
  </si>
  <si>
    <t>NVL-ABAA_00_00.ntf</t>
  </si>
  <si>
    <r>
      <t>NVL-ABA</t>
    </r>
    <r>
      <rPr>
        <sz val="11"/>
        <color theme="1"/>
        <rFont val="Calibri"/>
        <family val="2"/>
        <charset val="128"/>
        <scheme val="minor"/>
      </rPr>
      <t>G</t>
    </r>
    <r>
      <rPr>
        <sz val="11"/>
        <color theme="1"/>
        <rFont val="Calibri"/>
        <family val="2"/>
        <charset val="128"/>
        <scheme val="minor"/>
      </rPr>
      <t>_00_00.ntf</t>
    </r>
    <phoneticPr fontId="21"/>
  </si>
  <si>
    <r>
      <t>NVL-ABA</t>
    </r>
    <r>
      <rPr>
        <sz val="11"/>
        <color theme="1"/>
        <rFont val="Calibri"/>
        <family val="2"/>
        <charset val="128"/>
        <scheme val="minor"/>
      </rPr>
      <t>H</t>
    </r>
    <r>
      <rPr>
        <sz val="11"/>
        <color theme="1"/>
        <rFont val="Calibri"/>
        <family val="2"/>
        <charset val="128"/>
        <scheme val="minor"/>
      </rPr>
      <t>_00_00.ntf</t>
    </r>
    <phoneticPr fontId="21"/>
  </si>
  <si>
    <t>NVL-AFAA_00_00.ntf</t>
    <phoneticPr fontId="21"/>
  </si>
  <si>
    <t>NVL-AFAB_00_00.ntf</t>
    <phoneticPr fontId="21"/>
  </si>
  <si>
    <t>NVL-ABAT_00_00.ntf</t>
    <phoneticPr fontId="21"/>
  </si>
  <si>
    <t>0x01</t>
  </si>
  <si>
    <t>0x03</t>
  </si>
  <si>
    <t>0x000003</t>
  </si>
  <si>
    <t>NVL-ABAW_00_00.ntf</t>
  </si>
  <si>
    <t>NVL-ABAB_00_00.ntf</t>
  </si>
  <si>
    <t>NVL-ABAC_00_00.ntf</t>
  </si>
  <si>
    <t>NVL-ABAU_00_00.ntf</t>
    <phoneticPr fontId="21"/>
  </si>
  <si>
    <t>0x000201</t>
  </si>
  <si>
    <t>NVL-ABAX_00_00.ntf</t>
  </si>
  <si>
    <t>NVL-ABAD_00_00.ntf</t>
  </si>
  <si>
    <t>0x000301</t>
  </si>
  <si>
    <r>
      <t>NVL-YAAA_0</t>
    </r>
    <r>
      <rPr>
        <sz val="11"/>
        <color theme="1"/>
        <rFont val="Calibri"/>
        <family val="2"/>
        <charset val="128"/>
        <scheme val="minor"/>
      </rPr>
      <t>2</t>
    </r>
    <r>
      <rPr>
        <sz val="11"/>
        <color theme="1"/>
        <rFont val="Calibri"/>
        <family val="2"/>
        <charset val="128"/>
        <scheme val="minor"/>
      </rPr>
      <t>_00.ntf</t>
    </r>
    <phoneticPr fontId="21"/>
  </si>
  <si>
    <r>
      <t>NVL-YAAB_0</t>
    </r>
    <r>
      <rPr>
        <sz val="11"/>
        <color theme="1"/>
        <rFont val="Calibri"/>
        <family val="2"/>
        <charset val="128"/>
        <scheme val="minor"/>
      </rPr>
      <t>2</t>
    </r>
    <r>
      <rPr>
        <sz val="11"/>
        <color theme="1"/>
        <rFont val="Calibri"/>
        <family val="2"/>
        <charset val="128"/>
        <scheme val="minor"/>
      </rPr>
      <t>_00.ntf</t>
    </r>
    <phoneticPr fontId="21"/>
  </si>
  <si>
    <r>
      <t>NVL-YAAC_0</t>
    </r>
    <r>
      <rPr>
        <sz val="11"/>
        <color theme="1"/>
        <rFont val="Calibri"/>
        <family val="2"/>
        <charset val="128"/>
        <scheme val="minor"/>
      </rPr>
      <t>2</t>
    </r>
    <r>
      <rPr>
        <sz val="11"/>
        <color theme="1"/>
        <rFont val="Calibri"/>
        <family val="2"/>
        <charset val="128"/>
        <scheme val="minor"/>
      </rPr>
      <t>_00.ntf</t>
    </r>
    <phoneticPr fontId="21"/>
  </si>
  <si>
    <r>
      <t>NVL-YAA</t>
    </r>
    <r>
      <rPr>
        <sz val="11"/>
        <color theme="1"/>
        <rFont val="Calibri"/>
        <family val="2"/>
        <charset val="128"/>
        <scheme val="minor"/>
      </rPr>
      <t>D</t>
    </r>
    <r>
      <rPr>
        <sz val="11"/>
        <color theme="1"/>
        <rFont val="Calibri"/>
        <family val="2"/>
        <charset val="128"/>
        <scheme val="minor"/>
      </rPr>
      <t>_0</t>
    </r>
    <r>
      <rPr>
        <sz val="11"/>
        <color theme="1"/>
        <rFont val="Calibri"/>
        <family val="2"/>
        <charset val="128"/>
        <scheme val="minor"/>
      </rPr>
      <t>2_00.ntf</t>
    </r>
    <phoneticPr fontId="21"/>
  </si>
  <si>
    <t>0x000400</t>
  </si>
  <si>
    <t>NVL-ABAJ_00_00.ntf</t>
    <phoneticPr fontId="21"/>
  </si>
  <si>
    <t>NVL-AAAV_00_00.ntf</t>
    <phoneticPr fontId="21"/>
  </si>
  <si>
    <t>NVL-ABAF_00_00.ntf</t>
  </si>
  <si>
    <t>NVL-ABAV_00_00.ntf</t>
    <phoneticPr fontId="21"/>
  </si>
  <si>
    <t>NVL-ABAK_00_00.ntf</t>
    <phoneticPr fontId="21"/>
  </si>
  <si>
    <t>NVL-ABAL_00_00.ntf</t>
    <phoneticPr fontId="21"/>
  </si>
  <si>
    <t>NVL-ABAM_00_00.ntf</t>
    <phoneticPr fontId="21"/>
  </si>
  <si>
    <t>NVL-ABAE_00_00.ntf</t>
  </si>
  <si>
    <t>0x0013</t>
  </si>
  <si>
    <t>0x001300</t>
  </si>
  <si>
    <t>NVL-ABAN_00_00.ntf</t>
    <phoneticPr fontId="21"/>
  </si>
  <si>
    <t>NVL-AACR_00_00.ntf</t>
  </si>
  <si>
    <t>0x0014</t>
  </si>
  <si>
    <t>0x001400</t>
  </si>
  <si>
    <t>NVL-ABAP_00_00.ntf</t>
    <phoneticPr fontId="21"/>
  </si>
  <si>
    <t>0x0015</t>
  </si>
  <si>
    <t>0x001500</t>
  </si>
  <si>
    <t>NVL-ABAR_00_00.ntf</t>
    <phoneticPr fontId="21"/>
  </si>
  <si>
    <t>0x0017</t>
  </si>
  <si>
    <t>0x001700</t>
  </si>
  <si>
    <t>NVL-ABAQ_00_00.ntf</t>
    <phoneticPr fontId="21"/>
  </si>
  <si>
    <t>0x0023</t>
  </si>
  <si>
    <t>0x002300</t>
  </si>
  <si>
    <t>NVL-ABAS_00_00.ntf</t>
    <phoneticPr fontId="21"/>
  </si>
  <si>
    <t>0x0024</t>
  </si>
  <si>
    <t>0x002400</t>
  </si>
  <si>
    <t>NVL-AADL_00_00.ntf</t>
  </si>
  <si>
    <t>0x0080</t>
  </si>
  <si>
    <t>ポチ</t>
    <phoneticPr fontId="21"/>
  </si>
  <si>
    <t>0x008001</t>
  </si>
  <si>
    <t>NVL-YAAE_02_00.ntf</t>
    <phoneticPr fontId="21"/>
  </si>
  <si>
    <t>0x00C0</t>
  </si>
  <si>
    <t>0x00C000</t>
  </si>
  <si>
    <t>NVL-AACS_00_00.ntf</t>
  </si>
  <si>
    <r>
      <t>NVL-A</t>
    </r>
    <r>
      <rPr>
        <sz val="11"/>
        <color theme="1"/>
        <rFont val="Calibri"/>
        <family val="2"/>
        <charset val="128"/>
        <scheme val="minor"/>
      </rPr>
      <t>KAB</t>
    </r>
    <r>
      <rPr>
        <sz val="11"/>
        <color theme="1"/>
        <rFont val="Calibri"/>
        <family val="2"/>
        <charset val="128"/>
        <scheme val="minor"/>
      </rPr>
      <t>_00_00.ntf</t>
    </r>
    <phoneticPr fontId="21"/>
  </si>
  <si>
    <t>NVL-AKAC_00_00.ntf</t>
    <phoneticPr fontId="21"/>
  </si>
  <si>
    <t>NVL-AKAD_00_00.ntf</t>
  </si>
  <si>
    <t>NVL-AKAE_00_00.ntf</t>
  </si>
  <si>
    <r>
      <t>NVL-AKAF</t>
    </r>
    <r>
      <rPr>
        <sz val="11"/>
        <color theme="1"/>
        <rFont val="Calibri"/>
        <family val="2"/>
        <charset val="128"/>
        <scheme val="minor"/>
      </rPr>
      <t>_00_00.ntf</t>
    </r>
    <phoneticPr fontId="21"/>
  </si>
  <si>
    <r>
      <t>NVL-</t>
    </r>
    <r>
      <rPr>
        <sz val="11"/>
        <color theme="1"/>
        <rFont val="Calibri"/>
        <family val="2"/>
        <charset val="128"/>
        <scheme val="minor"/>
      </rPr>
      <t>AKAK_00_00.ntf</t>
    </r>
    <phoneticPr fontId="21"/>
  </si>
  <si>
    <r>
      <t>NVL-</t>
    </r>
    <r>
      <rPr>
        <sz val="11"/>
        <color theme="1"/>
        <rFont val="Calibri"/>
        <family val="2"/>
        <charset val="128"/>
        <scheme val="minor"/>
      </rPr>
      <t>AKAL_00_00.ntf</t>
    </r>
    <phoneticPr fontId="21"/>
  </si>
  <si>
    <t>NVL-AACT_00_00.ntf</t>
  </si>
  <si>
    <t>NVL-AKAV_00_00.ntf</t>
    <phoneticPr fontId="21"/>
  </si>
  <si>
    <r>
      <t>NVL-AKAG</t>
    </r>
    <r>
      <rPr>
        <sz val="11"/>
        <color theme="1"/>
        <rFont val="Calibri"/>
        <family val="2"/>
        <charset val="128"/>
        <scheme val="minor"/>
      </rPr>
      <t>_00_00.ntf</t>
    </r>
    <phoneticPr fontId="21"/>
  </si>
  <si>
    <r>
      <t>NVL-AKAJ</t>
    </r>
    <r>
      <rPr>
        <sz val="11"/>
        <color theme="1"/>
        <rFont val="Calibri"/>
        <family val="2"/>
        <charset val="128"/>
        <scheme val="minor"/>
      </rPr>
      <t>_00_00.ntf</t>
    </r>
    <phoneticPr fontId="21"/>
  </si>
  <si>
    <t>NVL-AKAN_00_00.ntf</t>
  </si>
  <si>
    <t>0x010103</t>
  </si>
  <si>
    <t>NVL-AKAW_00_00.ntf</t>
    <phoneticPr fontId="21"/>
  </si>
  <si>
    <t>ガノン</t>
    <phoneticPr fontId="21"/>
  </si>
  <si>
    <t>0x0103</t>
  </si>
  <si>
    <t>0x010300</t>
  </si>
  <si>
    <r>
      <t>NVL-A</t>
    </r>
    <r>
      <rPr>
        <sz val="11"/>
        <color theme="1"/>
        <rFont val="Calibri"/>
        <family val="2"/>
        <charset val="128"/>
        <scheme val="minor"/>
      </rPr>
      <t>KAA</t>
    </r>
    <r>
      <rPr>
        <sz val="11"/>
        <color theme="1"/>
        <rFont val="Calibri"/>
        <family val="2"/>
        <charset val="128"/>
        <scheme val="minor"/>
      </rPr>
      <t>_00_00.ntf</t>
    </r>
    <phoneticPr fontId="21"/>
  </si>
  <si>
    <t>0x0105</t>
  </si>
  <si>
    <t>0x010500</t>
  </si>
  <si>
    <t>NVL-AKAQ_00_00.ntf</t>
  </si>
  <si>
    <t>0x0106</t>
  </si>
  <si>
    <t>0x010600</t>
  </si>
  <si>
    <t>NVL-AKAR_00_00.ntf</t>
  </si>
  <si>
    <t>0x0107</t>
  </si>
  <si>
    <t>0x010700</t>
  </si>
  <si>
    <t>NVL-AKAS_00_00.ntf</t>
    <phoneticPr fontId="21"/>
  </si>
  <si>
    <t>0x0108</t>
  </si>
  <si>
    <t>0x010800</t>
  </si>
  <si>
    <t>NVL-AKAT_00_00.ntf</t>
    <phoneticPr fontId="21"/>
  </si>
  <si>
    <t>0x0140</t>
  </si>
  <si>
    <t>0x014000</t>
  </si>
  <si>
    <t>NVL-AKAM_00_00.ntf</t>
    <phoneticPr fontId="21"/>
  </si>
  <si>
    <t>0x0141</t>
  </si>
  <si>
    <t>0x014100</t>
  </si>
  <si>
    <t>NVL-AKAU_00_00.ntf</t>
    <phoneticPr fontId="21"/>
  </si>
  <si>
    <t>NVL-AAAJ_00_01.ntf</t>
  </si>
  <si>
    <t>0x0181</t>
  </si>
  <si>
    <t>0x018100</t>
  </si>
  <si>
    <r>
      <t>NVL-AJAN</t>
    </r>
    <r>
      <rPr>
        <sz val="11"/>
        <color theme="1"/>
        <rFont val="Calibri"/>
        <family val="2"/>
        <charset val="128"/>
        <scheme val="minor"/>
      </rPr>
      <t>_00_0</t>
    </r>
    <r>
      <rPr>
        <sz val="11"/>
        <color theme="1"/>
        <rFont val="Calibri"/>
        <family val="2"/>
        <charset val="128"/>
        <scheme val="minor"/>
      </rPr>
      <t>0</t>
    </r>
    <r>
      <rPr>
        <sz val="11"/>
        <color theme="1"/>
        <rFont val="Calibri"/>
        <family val="2"/>
        <charset val="128"/>
        <scheme val="minor"/>
      </rPr>
      <t>.ntf</t>
    </r>
    <phoneticPr fontId="21"/>
  </si>
  <si>
    <t>NVL-AACU_00_00.ntf</t>
  </si>
  <si>
    <t>0x018101</t>
  </si>
  <si>
    <r>
      <t>NVL-AJAA</t>
    </r>
    <r>
      <rPr>
        <sz val="11"/>
        <color theme="1"/>
        <rFont val="Calibri"/>
        <family val="2"/>
        <charset val="128"/>
        <scheme val="minor"/>
      </rPr>
      <t>_00_0</t>
    </r>
    <r>
      <rPr>
        <sz val="11"/>
        <color theme="1"/>
        <rFont val="Calibri"/>
        <family val="2"/>
        <charset val="128"/>
        <scheme val="minor"/>
      </rPr>
      <t>0</t>
    </r>
    <r>
      <rPr>
        <sz val="11"/>
        <color theme="1"/>
        <rFont val="Calibri"/>
        <family val="2"/>
        <charset val="128"/>
        <scheme val="minor"/>
      </rPr>
      <t>.ntf</t>
    </r>
    <phoneticPr fontId="21"/>
  </si>
  <si>
    <t>0x0182</t>
  </si>
  <si>
    <t>0x018200</t>
  </si>
  <si>
    <r>
      <t>NVL-AJAB</t>
    </r>
    <r>
      <rPr>
        <sz val="11"/>
        <color theme="1"/>
        <rFont val="Calibri"/>
        <family val="2"/>
        <charset val="128"/>
        <scheme val="minor"/>
      </rPr>
      <t>_00_0</t>
    </r>
    <r>
      <rPr>
        <sz val="11"/>
        <color theme="1"/>
        <rFont val="Calibri"/>
        <family val="2"/>
        <charset val="128"/>
        <scheme val="minor"/>
      </rPr>
      <t>0</t>
    </r>
    <r>
      <rPr>
        <sz val="11"/>
        <color theme="1"/>
        <rFont val="Calibri"/>
        <family val="2"/>
        <charset val="128"/>
        <scheme val="minor"/>
      </rPr>
      <t>.ntf</t>
    </r>
    <phoneticPr fontId="21"/>
  </si>
  <si>
    <t>0x0183</t>
  </si>
  <si>
    <t>0x018300</t>
  </si>
  <si>
    <r>
      <t>NVL-AJAD</t>
    </r>
    <r>
      <rPr>
        <sz val="11"/>
        <color theme="1"/>
        <rFont val="Calibri"/>
        <family val="2"/>
        <charset val="128"/>
        <scheme val="minor"/>
      </rPr>
      <t>_00_0</t>
    </r>
    <r>
      <rPr>
        <sz val="11"/>
        <color theme="1"/>
        <rFont val="Calibri"/>
        <family val="2"/>
        <charset val="128"/>
        <scheme val="minor"/>
      </rPr>
      <t>0</t>
    </r>
    <r>
      <rPr>
        <sz val="11"/>
        <color theme="1"/>
        <rFont val="Calibri"/>
        <family val="2"/>
        <charset val="128"/>
        <scheme val="minor"/>
      </rPr>
      <t>.ntf</t>
    </r>
    <phoneticPr fontId="21"/>
  </si>
  <si>
    <t>0x0184</t>
  </si>
  <si>
    <t>0x018400</t>
  </si>
  <si>
    <r>
      <t>NVL-AJAQ</t>
    </r>
    <r>
      <rPr>
        <sz val="11"/>
        <color theme="1"/>
        <rFont val="Calibri"/>
        <family val="2"/>
        <charset val="128"/>
        <scheme val="minor"/>
      </rPr>
      <t>_00_0</t>
    </r>
    <r>
      <rPr>
        <sz val="11"/>
        <color theme="1"/>
        <rFont val="Calibri"/>
        <family val="2"/>
        <charset val="128"/>
        <scheme val="minor"/>
      </rPr>
      <t>0</t>
    </r>
    <r>
      <rPr>
        <sz val="11"/>
        <color theme="1"/>
        <rFont val="Calibri"/>
        <family val="2"/>
        <charset val="128"/>
        <scheme val="minor"/>
      </rPr>
      <t>.ntf</t>
    </r>
    <phoneticPr fontId="21"/>
  </si>
  <si>
    <t>0x0188</t>
  </si>
  <si>
    <t>0x018800</t>
  </si>
  <si>
    <r>
      <t>NVL-AJAC</t>
    </r>
    <r>
      <rPr>
        <sz val="11"/>
        <color theme="1"/>
        <rFont val="Calibri"/>
        <family val="2"/>
        <charset val="128"/>
        <scheme val="minor"/>
      </rPr>
      <t>_00_0</t>
    </r>
    <r>
      <rPr>
        <sz val="11"/>
        <color theme="1"/>
        <rFont val="Calibri"/>
        <family val="2"/>
        <charset val="128"/>
        <scheme val="minor"/>
      </rPr>
      <t>0</t>
    </r>
    <r>
      <rPr>
        <sz val="11"/>
        <color theme="1"/>
        <rFont val="Calibri"/>
        <family val="2"/>
        <charset val="128"/>
        <scheme val="minor"/>
      </rPr>
      <t>.ntf</t>
    </r>
    <phoneticPr fontId="21"/>
  </si>
  <si>
    <t>0x018A</t>
  </si>
  <si>
    <t>0x018A00</t>
  </si>
  <si>
    <r>
      <t>NVL-AJAG</t>
    </r>
    <r>
      <rPr>
        <sz val="11"/>
        <color theme="1"/>
        <rFont val="Calibri"/>
        <family val="2"/>
        <charset val="128"/>
        <scheme val="minor"/>
      </rPr>
      <t>_00_0</t>
    </r>
    <r>
      <rPr>
        <sz val="11"/>
        <color theme="1"/>
        <rFont val="Calibri"/>
        <family val="2"/>
        <charset val="128"/>
        <scheme val="minor"/>
      </rPr>
      <t>0</t>
    </r>
    <r>
      <rPr>
        <sz val="11"/>
        <color theme="1"/>
        <rFont val="Calibri"/>
        <family val="2"/>
        <charset val="128"/>
        <scheme val="minor"/>
      </rPr>
      <t>.ntf</t>
    </r>
    <phoneticPr fontId="21"/>
  </si>
  <si>
    <t>0x018B</t>
  </si>
  <si>
    <t>0x018B00</t>
  </si>
  <si>
    <r>
      <t>NVL-AJAH</t>
    </r>
    <r>
      <rPr>
        <sz val="11"/>
        <color theme="1"/>
        <rFont val="Calibri"/>
        <family val="2"/>
        <charset val="128"/>
        <scheme val="minor"/>
      </rPr>
      <t>_00_0</t>
    </r>
    <r>
      <rPr>
        <sz val="11"/>
        <color theme="1"/>
        <rFont val="Calibri"/>
        <family val="2"/>
        <charset val="128"/>
        <scheme val="minor"/>
      </rPr>
      <t>0</t>
    </r>
    <r>
      <rPr>
        <sz val="11"/>
        <color theme="1"/>
        <rFont val="Calibri"/>
        <family val="2"/>
        <charset val="128"/>
        <scheme val="minor"/>
      </rPr>
      <t>.ntf</t>
    </r>
    <phoneticPr fontId="21"/>
  </si>
  <si>
    <t>0x018C</t>
  </si>
  <si>
    <t>0x018C00</t>
  </si>
  <si>
    <r>
      <t>NVL-AJAE</t>
    </r>
    <r>
      <rPr>
        <sz val="11"/>
        <color theme="1"/>
        <rFont val="Calibri"/>
        <family val="2"/>
        <charset val="128"/>
        <scheme val="minor"/>
      </rPr>
      <t>_00_0</t>
    </r>
    <r>
      <rPr>
        <sz val="11"/>
        <color theme="1"/>
        <rFont val="Calibri"/>
        <family val="2"/>
        <charset val="128"/>
        <scheme val="minor"/>
      </rPr>
      <t>0</t>
    </r>
    <r>
      <rPr>
        <sz val="11"/>
        <color theme="1"/>
        <rFont val="Calibri"/>
        <family val="2"/>
        <charset val="128"/>
        <scheme val="minor"/>
      </rPr>
      <t>.ntf</t>
    </r>
    <phoneticPr fontId="21"/>
  </si>
  <si>
    <t>0x018D</t>
  </si>
  <si>
    <t>0x018D00</t>
  </si>
  <si>
    <r>
      <t>NVL-AJAP</t>
    </r>
    <r>
      <rPr>
        <sz val="11"/>
        <color theme="1"/>
        <rFont val="Calibri"/>
        <family val="2"/>
        <charset val="128"/>
        <scheme val="minor"/>
      </rPr>
      <t>_00_0</t>
    </r>
    <r>
      <rPr>
        <sz val="11"/>
        <color theme="1"/>
        <rFont val="Calibri"/>
        <family val="2"/>
        <charset val="128"/>
        <scheme val="minor"/>
      </rPr>
      <t>0</t>
    </r>
    <r>
      <rPr>
        <sz val="11"/>
        <color theme="1"/>
        <rFont val="Calibri"/>
        <family val="2"/>
        <charset val="128"/>
        <scheme val="minor"/>
      </rPr>
      <t>.ntf</t>
    </r>
    <phoneticPr fontId="21"/>
  </si>
  <si>
    <t>0x018E</t>
  </si>
  <si>
    <t>0x018E00</t>
  </si>
  <si>
    <r>
      <t>NVL-AJAL</t>
    </r>
    <r>
      <rPr>
        <sz val="11"/>
        <color theme="1"/>
        <rFont val="Calibri"/>
        <family val="2"/>
        <charset val="128"/>
        <scheme val="minor"/>
      </rPr>
      <t>_00_0</t>
    </r>
    <r>
      <rPr>
        <sz val="11"/>
        <color theme="1"/>
        <rFont val="Calibri"/>
        <family val="2"/>
        <charset val="128"/>
        <scheme val="minor"/>
      </rPr>
      <t>0</t>
    </r>
    <r>
      <rPr>
        <sz val="11"/>
        <color theme="1"/>
        <rFont val="Calibri"/>
        <family val="2"/>
        <charset val="128"/>
        <scheme val="minor"/>
      </rPr>
      <t>.ntf</t>
    </r>
    <phoneticPr fontId="21"/>
  </si>
  <si>
    <t>0x0192</t>
  </si>
  <si>
    <t>0x019200</t>
  </si>
  <si>
    <r>
      <t>NVL-AJAJ</t>
    </r>
    <r>
      <rPr>
        <sz val="11"/>
        <color theme="1"/>
        <rFont val="Calibri"/>
        <family val="2"/>
        <charset val="128"/>
        <scheme val="minor"/>
      </rPr>
      <t>_00_0</t>
    </r>
    <r>
      <rPr>
        <sz val="11"/>
        <color theme="1"/>
        <rFont val="Calibri"/>
        <family val="2"/>
        <charset val="128"/>
        <scheme val="minor"/>
      </rPr>
      <t>0</t>
    </r>
    <r>
      <rPr>
        <sz val="11"/>
        <color theme="1"/>
        <rFont val="Calibri"/>
        <family val="2"/>
        <charset val="128"/>
        <scheme val="minor"/>
      </rPr>
      <t>.ntf</t>
    </r>
    <phoneticPr fontId="21"/>
  </si>
  <si>
    <t>0x0193</t>
  </si>
  <si>
    <t>0x019300</t>
  </si>
  <si>
    <r>
      <t>NVL-AJAK</t>
    </r>
    <r>
      <rPr>
        <sz val="11"/>
        <color theme="1"/>
        <rFont val="Calibri"/>
        <family val="2"/>
        <charset val="128"/>
        <scheme val="minor"/>
      </rPr>
      <t>_00_0</t>
    </r>
    <r>
      <rPr>
        <sz val="11"/>
        <color theme="1"/>
        <rFont val="Calibri"/>
        <family val="2"/>
        <charset val="128"/>
        <scheme val="minor"/>
      </rPr>
      <t>0</t>
    </r>
    <r>
      <rPr>
        <sz val="11"/>
        <color theme="1"/>
        <rFont val="Calibri"/>
        <family val="2"/>
        <charset val="128"/>
        <scheme val="minor"/>
      </rPr>
      <t>.ntf</t>
    </r>
    <phoneticPr fontId="21"/>
  </si>
  <si>
    <t>0x0194</t>
  </si>
  <si>
    <t>0x019400</t>
  </si>
  <si>
    <r>
      <t>NVL-AJAM</t>
    </r>
    <r>
      <rPr>
        <sz val="11"/>
        <color theme="1"/>
        <rFont val="Calibri"/>
        <family val="2"/>
        <charset val="128"/>
        <scheme val="minor"/>
      </rPr>
      <t>_00_0</t>
    </r>
    <r>
      <rPr>
        <sz val="11"/>
        <color theme="1"/>
        <rFont val="Calibri"/>
        <family val="2"/>
        <charset val="128"/>
        <scheme val="minor"/>
      </rPr>
      <t>0</t>
    </r>
    <r>
      <rPr>
        <sz val="11"/>
        <color theme="1"/>
        <rFont val="Calibri"/>
        <family val="2"/>
        <charset val="128"/>
        <scheme val="minor"/>
      </rPr>
      <t>.ntf</t>
    </r>
    <phoneticPr fontId="21"/>
  </si>
  <si>
    <t>0x0196</t>
  </si>
  <si>
    <t>0x019600</t>
  </si>
  <si>
    <r>
      <t>NVL-AJAR</t>
    </r>
    <r>
      <rPr>
        <sz val="11"/>
        <color theme="1"/>
        <rFont val="Calibri"/>
        <family val="2"/>
        <charset val="128"/>
        <scheme val="minor"/>
      </rPr>
      <t>_00_0</t>
    </r>
    <r>
      <rPr>
        <sz val="11"/>
        <color theme="1"/>
        <rFont val="Calibri"/>
        <family val="2"/>
        <charset val="128"/>
        <scheme val="minor"/>
      </rPr>
      <t>0</t>
    </r>
    <r>
      <rPr>
        <sz val="11"/>
        <color theme="1"/>
        <rFont val="Calibri"/>
        <family val="2"/>
        <charset val="128"/>
        <scheme val="minor"/>
      </rPr>
      <t>.ntf</t>
    </r>
    <phoneticPr fontId="21"/>
  </si>
  <si>
    <t>0x01C1</t>
  </si>
  <si>
    <t>0x01C100</t>
  </si>
  <si>
    <r>
      <t>NVL-AJAF</t>
    </r>
    <r>
      <rPr>
        <sz val="11"/>
        <color theme="1"/>
        <rFont val="Calibri"/>
        <family val="2"/>
        <charset val="128"/>
        <scheme val="minor"/>
      </rPr>
      <t>_00_0</t>
    </r>
    <r>
      <rPr>
        <sz val="11"/>
        <color theme="1"/>
        <rFont val="Calibri"/>
        <family val="2"/>
        <charset val="128"/>
        <scheme val="minor"/>
      </rPr>
      <t>0</t>
    </r>
    <r>
      <rPr>
        <sz val="11"/>
        <color theme="1"/>
        <rFont val="Calibri"/>
        <family val="2"/>
        <charset val="128"/>
        <scheme val="minor"/>
      </rPr>
      <t>.ntf</t>
    </r>
    <phoneticPr fontId="21"/>
  </si>
  <si>
    <t>0x0584</t>
  </si>
  <si>
    <t>0x058400</t>
  </si>
  <si>
    <t>NVL-AACV_00_00.ntf</t>
  </si>
  <si>
    <t>NVL-ARAA_00_00.ntf</t>
    <phoneticPr fontId="21"/>
  </si>
  <si>
    <t>NVL-ARAC_00_00.ntf</t>
    <phoneticPr fontId="21"/>
  </si>
  <si>
    <t>0x05C1</t>
  </si>
  <si>
    <t>0x05C100</t>
  </si>
  <si>
    <t>NVL-ARAB_00_00.ntf</t>
    <phoneticPr fontId="21"/>
  </si>
  <si>
    <t>0x05C2</t>
  </si>
  <si>
    <t>0x05C200</t>
  </si>
  <si>
    <t>NVL-AACW_00_00.ntf</t>
  </si>
  <si>
    <t>0x05C3</t>
  </si>
  <si>
    <t>0x05C300</t>
  </si>
  <si>
    <t>NVL-AACX_00_00.ntf</t>
  </si>
  <si>
    <t>0x05C4</t>
  </si>
  <si>
    <t>0x05C400</t>
  </si>
  <si>
    <t>NVL-ARAD_00_00.ntf</t>
    <phoneticPr fontId="21"/>
  </si>
  <si>
    <t>オリマー</t>
    <phoneticPr fontId="21"/>
  </si>
  <si>
    <t>0x0642</t>
  </si>
  <si>
    <t>0x064200</t>
  </si>
  <si>
    <t>NVL-APAA_00_00.ntf</t>
    <phoneticPr fontId="21"/>
  </si>
  <si>
    <t>NVL-AACD_00_00.ntf</t>
  </si>
  <si>
    <t>0x078F</t>
  </si>
  <si>
    <t>0x078F00</t>
  </si>
  <si>
    <t>NVL-AACY_00_00.ntf</t>
  </si>
  <si>
    <t>0x02</t>
  </si>
  <si>
    <t>0x0800</t>
  </si>
  <si>
    <t>インクリング</t>
  </si>
  <si>
    <t>0x080001</t>
  </si>
  <si>
    <t>NVL-AEAA_00_00.ntf</t>
    <phoneticPr fontId="21"/>
  </si>
  <si>
    <t>NVL-AEAF_00_00.ntf</t>
    <phoneticPr fontId="21"/>
  </si>
  <si>
    <t>NVL-AEAJ_00_00.ntf</t>
    <phoneticPr fontId="21"/>
  </si>
  <si>
    <t>NVL-AACZ_00_00.ntf</t>
  </si>
  <si>
    <t>0x080002</t>
  </si>
  <si>
    <t>NVL-AEAB_00_00.ntf</t>
    <phoneticPr fontId="21"/>
  </si>
  <si>
    <t>NVL-AEAG_00_00.ntf</t>
    <phoneticPr fontId="21"/>
  </si>
  <si>
    <t>NVL-AEAK_00_00.ntf</t>
    <phoneticPr fontId="21"/>
  </si>
  <si>
    <t>0x080003</t>
  </si>
  <si>
    <t>NVL-AEAC_00_00.ntf</t>
    <phoneticPr fontId="21"/>
  </si>
  <si>
    <t>NVL-AEAH_00_00.ntf</t>
    <phoneticPr fontId="21"/>
  </si>
  <si>
    <t>NVL-AEAL_00_00.ntf</t>
    <phoneticPr fontId="21"/>
  </si>
  <si>
    <t>0x0801</t>
  </si>
  <si>
    <t>0x080100</t>
  </si>
  <si>
    <t>NVL-AEAD_00_00.ntf</t>
    <phoneticPr fontId="21"/>
  </si>
  <si>
    <t>0x0802</t>
  </si>
  <si>
    <t>0x080200</t>
  </si>
  <si>
    <t>NVL-AEAE_00_00.ntf</t>
    <phoneticPr fontId="21"/>
  </si>
  <si>
    <t>0x0803</t>
  </si>
  <si>
    <t>0x080300</t>
  </si>
  <si>
    <t>NVL-AEAM_00_00.ntf</t>
    <phoneticPr fontId="21"/>
  </si>
  <si>
    <t>0x0804</t>
  </si>
  <si>
    <t>0x080400</t>
  </si>
  <si>
    <t>NVL-AEAN_00_00.ntf</t>
    <phoneticPr fontId="21"/>
  </si>
  <si>
    <t>0x0805</t>
  </si>
  <si>
    <t>オクトリング</t>
    <phoneticPr fontId="21"/>
  </si>
  <si>
    <t>0x080501</t>
  </si>
  <si>
    <t>NVL-AEAP_00_00.ntf</t>
    <phoneticPr fontId="21"/>
  </si>
  <si>
    <t>0x080502</t>
  </si>
  <si>
    <t>NVL-AEAQ_00_00.ntf</t>
    <phoneticPr fontId="21"/>
  </si>
  <si>
    <t>0x080503</t>
  </si>
  <si>
    <t>NVL-AEAR_00_00.ntf</t>
    <phoneticPr fontId="21"/>
  </si>
  <si>
    <t>0x0A40</t>
  </si>
  <si>
    <t>0x0A4000</t>
  </si>
  <si>
    <t>NVL-AADS_00_00.ntf</t>
    <phoneticPr fontId="21"/>
  </si>
  <si>
    <t>0x1902</t>
  </si>
  <si>
    <t>0x190200</t>
  </si>
  <si>
    <t>NVL-AADA_00_00.ntf</t>
  </si>
  <si>
    <t>0x1907</t>
  </si>
  <si>
    <t>0x190700</t>
  </si>
  <si>
    <t>NVL-AADB_00_00.ntf</t>
  </si>
  <si>
    <t>0x1996</t>
  </si>
  <si>
    <t>0x199600</t>
  </si>
  <si>
    <r>
      <t>NVL-AA</t>
    </r>
    <r>
      <rPr>
        <sz val="11"/>
        <color theme="1"/>
        <rFont val="Calibri"/>
        <family val="2"/>
        <charset val="128"/>
        <scheme val="minor"/>
      </rPr>
      <t>CE</t>
    </r>
    <r>
      <rPr>
        <sz val="11"/>
        <color theme="1"/>
        <rFont val="Calibri"/>
        <family val="2"/>
        <charset val="128"/>
        <scheme val="minor"/>
      </rPr>
      <t>_00_00.ntf</t>
    </r>
    <phoneticPr fontId="21"/>
  </si>
  <si>
    <t>0x19AC</t>
  </si>
  <si>
    <t>0x19AC00</t>
  </si>
  <si>
    <t>NVL-AADC_00_00.ntf</t>
  </si>
  <si>
    <t>0x1BD7</t>
  </si>
  <si>
    <t>0x1BD700</t>
  </si>
  <si>
    <t>NVL-AADD_00_00.ntf</t>
  </si>
  <si>
    <t>0x1D01</t>
  </si>
  <si>
    <t>0x1D0100</t>
  </si>
  <si>
    <t>NVL-ASAA_00_00.ntf</t>
  </si>
  <si>
    <t>0x1D40</t>
  </si>
  <si>
    <t>0x1D4000</t>
  </si>
  <si>
    <t>NVL-AADE_00_00.ntf</t>
  </si>
  <si>
    <r>
      <t>NVL-A</t>
    </r>
    <r>
      <rPr>
        <sz val="11"/>
        <color theme="1"/>
        <rFont val="Calibri"/>
        <family val="2"/>
        <charset val="128"/>
        <scheme val="minor"/>
      </rPr>
      <t>LAA</t>
    </r>
    <r>
      <rPr>
        <sz val="11"/>
        <color theme="1"/>
        <rFont val="Calibri"/>
        <family val="2"/>
        <charset val="128"/>
        <scheme val="minor"/>
      </rPr>
      <t>_00_00.ntf</t>
    </r>
    <phoneticPr fontId="21"/>
  </si>
  <si>
    <r>
      <t>NVL-ALAB</t>
    </r>
    <r>
      <rPr>
        <sz val="11"/>
        <color theme="1"/>
        <rFont val="Calibri"/>
        <family val="2"/>
        <charset val="128"/>
        <scheme val="minor"/>
      </rPr>
      <t>_00_00.ntf</t>
    </r>
    <phoneticPr fontId="21"/>
  </si>
  <si>
    <r>
      <t>NVL-ALAC</t>
    </r>
    <r>
      <rPr>
        <sz val="11"/>
        <color theme="1"/>
        <rFont val="Calibri"/>
        <family val="2"/>
        <charset val="128"/>
        <scheme val="minor"/>
      </rPr>
      <t>_00_00.ntf</t>
    </r>
    <phoneticPr fontId="21"/>
  </si>
  <si>
    <t>0x1F03</t>
  </si>
  <si>
    <t>0x1F0300</t>
  </si>
  <si>
    <r>
      <t>NVL-ALAD</t>
    </r>
    <r>
      <rPr>
        <sz val="11"/>
        <color theme="1"/>
        <rFont val="Calibri"/>
        <family val="2"/>
        <charset val="128"/>
        <scheme val="minor"/>
      </rPr>
      <t>_00_00.ntf</t>
    </r>
    <phoneticPr fontId="21"/>
  </si>
  <si>
    <t>0x1F40</t>
  </si>
  <si>
    <t>0x1F4000</t>
  </si>
  <si>
    <t>NVL-ANAA_00_00.ntf</t>
    <phoneticPr fontId="21"/>
  </si>
  <si>
    <t>0x2104</t>
  </si>
  <si>
    <t>0x210400</t>
  </si>
  <si>
    <r>
      <t>NVL-</t>
    </r>
    <r>
      <rPr>
        <sz val="11"/>
        <color theme="1"/>
        <rFont val="Calibri"/>
        <family val="2"/>
        <charset val="128"/>
        <scheme val="minor"/>
      </rPr>
      <t>AACG</t>
    </r>
    <r>
      <rPr>
        <sz val="11"/>
        <color theme="1"/>
        <rFont val="Calibri"/>
        <family val="2"/>
        <charset val="128"/>
        <scheme val="minor"/>
      </rPr>
      <t>_00_00.ntf</t>
    </r>
    <phoneticPr fontId="21"/>
  </si>
  <si>
    <t>0x2105</t>
  </si>
  <si>
    <t>0x210500</t>
  </si>
  <si>
    <t>NVL-AACL_00_00.ntf</t>
    <phoneticPr fontId="21"/>
  </si>
  <si>
    <t>0x210501</t>
  </si>
  <si>
    <t>NVL-AACP_00_00.ntf</t>
    <phoneticPr fontId="21"/>
  </si>
  <si>
    <t>0x2106</t>
  </si>
  <si>
    <t>0x210600</t>
  </si>
  <si>
    <t>NVL-AQAA_00_00.ntf</t>
    <phoneticPr fontId="21"/>
  </si>
  <si>
    <t>0x2107</t>
  </si>
  <si>
    <t>0x210700</t>
  </si>
  <si>
    <t>NVL-AQAB_00_00.ntf</t>
    <phoneticPr fontId="21"/>
  </si>
  <si>
    <t>0x2108</t>
  </si>
  <si>
    <t>0x210800</t>
  </si>
  <si>
    <t>NVL-AQAC_00_00.ntf</t>
    <phoneticPr fontId="21"/>
  </si>
  <si>
    <t>NVL-AADF_00_00.ntf</t>
  </si>
  <si>
    <t>0x2109</t>
  </si>
  <si>
    <t>0x210900</t>
  </si>
  <si>
    <t>NVL-AQAD_00_00.ntf</t>
    <phoneticPr fontId="21"/>
  </si>
  <si>
    <t>0x210B</t>
  </si>
  <si>
    <t>0x210B00</t>
  </si>
  <si>
    <t>NVL-AADR_00_00.ntf</t>
    <phoneticPr fontId="21"/>
  </si>
  <si>
    <t>0x2281</t>
  </si>
  <si>
    <t>0x228100</t>
  </si>
  <si>
    <r>
      <t>NVL-AA</t>
    </r>
    <r>
      <rPr>
        <sz val="11"/>
        <color theme="1"/>
        <rFont val="Calibri"/>
        <family val="2"/>
        <charset val="128"/>
        <scheme val="minor"/>
      </rPr>
      <t>CF</t>
    </r>
    <r>
      <rPr>
        <sz val="11"/>
        <color theme="1"/>
        <rFont val="Calibri"/>
        <family val="2"/>
        <charset val="128"/>
        <scheme val="minor"/>
      </rPr>
      <t>_00_00.ntf</t>
    </r>
    <phoneticPr fontId="21"/>
  </si>
  <si>
    <t>0x22C0</t>
  </si>
  <si>
    <t>0x22C000</t>
  </si>
  <si>
    <r>
      <t>NVL-A</t>
    </r>
    <r>
      <rPr>
        <sz val="11"/>
        <color theme="1"/>
        <rFont val="Calibri"/>
        <family val="2"/>
        <charset val="128"/>
        <scheme val="minor"/>
      </rPr>
      <t>CAA_00_00.ntf</t>
    </r>
    <phoneticPr fontId="21"/>
  </si>
  <si>
    <t>0x3240</t>
  </si>
  <si>
    <t>0x324000</t>
  </si>
  <si>
    <r>
      <t>NVL-AAC</t>
    </r>
    <r>
      <rPr>
        <sz val="11"/>
        <color theme="1"/>
        <rFont val="Calibri"/>
        <family val="2"/>
        <charset val="128"/>
        <scheme val="minor"/>
      </rPr>
      <t>M</t>
    </r>
    <r>
      <rPr>
        <sz val="11"/>
        <color theme="1"/>
        <rFont val="Calibri"/>
        <family val="2"/>
        <charset val="128"/>
        <scheme val="minor"/>
      </rPr>
      <t>_00_00.ntf</t>
    </r>
    <phoneticPr fontId="21"/>
  </si>
  <si>
    <t>0x324001</t>
  </si>
  <si>
    <t>NVL-AACQ_00_00.ntf</t>
    <phoneticPr fontId="21"/>
  </si>
  <si>
    <t>NVL-AACC_00_00.ntf</t>
  </si>
  <si>
    <t>NVL-AACB_00_00.ntf</t>
  </si>
  <si>
    <t>0x34C0</t>
  </si>
  <si>
    <t>0x34C000</t>
  </si>
  <si>
    <r>
      <t>NVL-</t>
    </r>
    <r>
      <rPr>
        <sz val="11"/>
        <color theme="1"/>
        <rFont val="Calibri"/>
        <family val="2"/>
        <charset val="128"/>
        <scheme val="minor"/>
      </rPr>
      <t>AACH</t>
    </r>
    <r>
      <rPr>
        <sz val="11"/>
        <color theme="1"/>
        <rFont val="Calibri"/>
        <family val="2"/>
        <charset val="128"/>
        <scheme val="minor"/>
      </rPr>
      <t>_00_00.ntf</t>
    </r>
    <phoneticPr fontId="21"/>
  </si>
  <si>
    <t>0x34C1</t>
  </si>
  <si>
    <t>0x34C100</t>
  </si>
  <si>
    <t>NVL-AADG_00_00.ntf</t>
  </si>
  <si>
    <t>0x3600</t>
  </si>
  <si>
    <t>0x360000</t>
  </si>
  <si>
    <r>
      <t>NVL-AACK</t>
    </r>
    <r>
      <rPr>
        <sz val="11"/>
        <color theme="1"/>
        <rFont val="Calibri"/>
        <family val="2"/>
        <charset val="128"/>
        <scheme val="minor"/>
      </rPr>
      <t>_00_00.ntf</t>
    </r>
    <phoneticPr fontId="21"/>
  </si>
  <si>
    <t>0x360001</t>
  </si>
  <si>
    <t>NVL-AACN_00_00.ntf</t>
    <phoneticPr fontId="21"/>
  </si>
  <si>
    <t>0x3640</t>
  </si>
  <si>
    <t>0x364000</t>
  </si>
  <si>
    <t>NVL-AADN_00_00.ntf</t>
    <phoneticPr fontId="21"/>
  </si>
  <si>
    <t>0x3780</t>
  </si>
  <si>
    <t>0x378000</t>
  </si>
  <si>
    <t>NVL-AADH_00_00.ntf</t>
  </si>
  <si>
    <t>0x37C0</t>
  </si>
  <si>
    <t>0x37C000</t>
  </si>
  <si>
    <t>NVL-AADJ_00_00.ntf</t>
  </si>
  <si>
    <t>0x37C1</t>
  </si>
  <si>
    <t>0x37C100</t>
  </si>
  <si>
    <t>NVL-AADK_00_00.ntf</t>
  </si>
  <si>
    <t>0x3A00</t>
  </si>
  <si>
    <t>0x3A0000</t>
  </si>
  <si>
    <t>NVL-AADM_00_00.ntf</t>
    <phoneticPr fontId="21"/>
  </si>
  <si>
    <t>0x3B40</t>
  </si>
  <si>
    <t>0x3B4000</t>
  </si>
  <si>
    <t>NVL-AADP_00_00.ntf</t>
    <phoneticPr fontId="21"/>
  </si>
  <si>
    <t>0x3C80</t>
  </si>
  <si>
    <t>0x3C8000</t>
  </si>
  <si>
    <t>NVL-AADQ_00_00.ntf</t>
    <phoneticPr fontId="21"/>
  </si>
  <si>
    <t>大乱闘スマッシュブラザーズシリーズ</t>
    <phoneticPr fontId="21"/>
  </si>
  <si>
    <t>Super Smash Bros. series</t>
    <phoneticPr fontId="21"/>
  </si>
  <si>
    <t>スーパーマリオシリーズ</t>
    <phoneticPr fontId="21"/>
  </si>
  <si>
    <t>Super Mario series</t>
    <phoneticPr fontId="21"/>
  </si>
  <si>
    <t>ちびロボ！シリーズ</t>
    <phoneticPr fontId="21"/>
  </si>
  <si>
    <t>Chibi-Robo series</t>
    <phoneticPr fontId="21"/>
  </si>
  <si>
    <t>ヨッシー ウールワールドシリーズ</t>
    <phoneticPr fontId="21"/>
  </si>
  <si>
    <t>Yoshi's Woolly World series</t>
  </si>
  <si>
    <t>スプラトゥーンシリーズ</t>
    <phoneticPr fontId="21"/>
  </si>
  <si>
    <t>Splatoon series</t>
    <phoneticPr fontId="21"/>
  </si>
  <si>
    <t>どうぶつの森シリーズ</t>
    <rPh sb="5" eb="6">
      <t>モリ</t>
    </rPh>
    <phoneticPr fontId="21"/>
  </si>
  <si>
    <t>Animal Crossing series</t>
    <phoneticPr fontId="21"/>
  </si>
  <si>
    <t>SUPER MARIO BROS. 30thシリーズ</t>
    <phoneticPr fontId="21"/>
  </si>
  <si>
    <t>SUPER MARIO BROS. 30th series</t>
    <phoneticPr fontId="21"/>
  </si>
  <si>
    <t>ゼルダの伝説シリーズ</t>
    <rPh sb="4" eb="6">
      <t>デンセツ</t>
    </rPh>
    <phoneticPr fontId="21"/>
  </si>
  <si>
    <t>The Legend of Zelda Series</t>
    <phoneticPr fontId="21"/>
  </si>
  <si>
    <t>星のカービィシリーズ</t>
    <phoneticPr fontId="21"/>
  </si>
  <si>
    <t>Kirby series</t>
    <phoneticPr fontId="21"/>
  </si>
  <si>
    <t>ポケモンシリーズ</t>
    <phoneticPr fontId="21"/>
  </si>
  <si>
    <t>Pokémon series</t>
    <phoneticPr fontId="21"/>
  </si>
  <si>
    <t>ハコボーイ！シリーズ</t>
    <phoneticPr fontId="21"/>
  </si>
  <si>
    <t>BoxBoy! series</t>
    <phoneticPr fontId="21"/>
  </si>
  <si>
    <t>ピクミンシリーズ</t>
    <phoneticPr fontId="21"/>
  </si>
  <si>
    <t>Pikmin series</t>
    <phoneticPr fontId="21"/>
  </si>
  <si>
    <t>ファイアーエムブレムシリーズ</t>
    <phoneticPr fontId="21"/>
  </si>
  <si>
    <t>Fire Emblem series</t>
    <phoneticPr fontId="21"/>
  </si>
  <si>
    <t>メトロイドシリーズ</t>
    <phoneticPr fontId="21"/>
  </si>
  <si>
    <t>Metroid series</t>
    <phoneticPr fontId="21"/>
  </si>
  <si>
    <t>Character Figure</t>
  </si>
  <si>
    <t>Knitted Figure</t>
    <phoneticPr fontId="21"/>
  </si>
  <si>
    <t>Bowser Jr.</t>
    <phoneticPr fontId="21"/>
  </si>
  <si>
    <t>Donkey Kong</t>
    <phoneticPr fontId="21"/>
  </si>
  <si>
    <t>Toad</t>
    <phoneticPr fontId="21"/>
  </si>
  <si>
    <t>Daisy</t>
    <phoneticPr fontId="21"/>
  </si>
  <si>
    <t>Waluigi</t>
    <phoneticPr fontId="21"/>
  </si>
  <si>
    <t>Goomba</t>
    <phoneticPr fontId="21"/>
  </si>
  <si>
    <t>Boo</t>
    <phoneticPr fontId="21"/>
  </si>
  <si>
    <t>Koopa Troopa</t>
    <phoneticPr fontId="21"/>
  </si>
  <si>
    <t>Piranha Plant</t>
    <phoneticPr fontId="21"/>
  </si>
  <si>
    <t>Poochy</t>
    <phoneticPr fontId="21"/>
  </si>
  <si>
    <t>King K. Rool</t>
    <phoneticPr fontId="21"/>
  </si>
  <si>
    <t>Link</t>
    <phoneticPr fontId="21"/>
  </si>
  <si>
    <t>Zelda</t>
    <phoneticPr fontId="21"/>
  </si>
  <si>
    <t>Ganon</t>
    <phoneticPr fontId="21"/>
  </si>
  <si>
    <t>Wolf Link</t>
    <phoneticPr fontId="21"/>
  </si>
  <si>
    <t>Daruk</t>
  </si>
  <si>
    <t>Urbosa</t>
  </si>
  <si>
    <t>Mipha</t>
  </si>
  <si>
    <t>Revali</t>
  </si>
  <si>
    <t>Guardian</t>
  </si>
  <si>
    <t>Bokoblin</t>
  </si>
  <si>
    <t>Villager</t>
    <phoneticPr fontId="21"/>
  </si>
  <si>
    <t>Isabelle</t>
    <phoneticPr fontId="2"/>
  </si>
  <si>
    <t>K.K.</t>
    <phoneticPr fontId="2"/>
  </si>
  <si>
    <t>Tom Nook</t>
  </si>
  <si>
    <t>Timmy &amp; Tommy</t>
    <phoneticPr fontId="21"/>
  </si>
  <si>
    <t>Mabel</t>
  </si>
  <si>
    <t>Reese</t>
  </si>
  <si>
    <t>Cyrus</t>
  </si>
  <si>
    <t>Digby</t>
  </si>
  <si>
    <t>Rover</t>
  </si>
  <si>
    <t>Resetti</t>
  </si>
  <si>
    <t>Blathers</t>
  </si>
  <si>
    <t>Celeste</t>
  </si>
  <si>
    <t>Kicks</t>
  </si>
  <si>
    <t>Kapp'n</t>
  </si>
  <si>
    <t>Lottie</t>
    <phoneticPr fontId="21"/>
  </si>
  <si>
    <t>Fox</t>
    <phoneticPr fontId="21"/>
  </si>
  <si>
    <t>Falco</t>
    <phoneticPr fontId="21"/>
  </si>
  <si>
    <t>Wolf</t>
    <phoneticPr fontId="21"/>
  </si>
  <si>
    <t>Samus</t>
    <phoneticPr fontId="21"/>
  </si>
  <si>
    <t>Metroid</t>
    <phoneticPr fontId="21"/>
  </si>
  <si>
    <t>Ridley</t>
    <phoneticPr fontId="21"/>
  </si>
  <si>
    <t>Captain Falcon</t>
    <phoneticPr fontId="21"/>
  </si>
  <si>
    <t>Olimar</t>
    <phoneticPr fontId="21"/>
  </si>
  <si>
    <t>Pikmin</t>
    <phoneticPr fontId="21"/>
  </si>
  <si>
    <t>Little Mac</t>
    <phoneticPr fontId="21"/>
  </si>
  <si>
    <t>Pit</t>
    <phoneticPr fontId="21"/>
  </si>
  <si>
    <t>Dark Pit</t>
    <phoneticPr fontId="21"/>
  </si>
  <si>
    <t>Palutena</t>
    <phoneticPr fontId="21"/>
  </si>
  <si>
    <t>R.O.B.</t>
    <phoneticPr fontId="21"/>
  </si>
  <si>
    <t>Duck Hunt</t>
    <phoneticPr fontId="21"/>
  </si>
  <si>
    <t>Ice Climbers</t>
    <phoneticPr fontId="21"/>
  </si>
  <si>
    <t>Mii Brawler</t>
    <phoneticPr fontId="21"/>
  </si>
  <si>
    <t>Inkling</t>
    <phoneticPr fontId="21"/>
  </si>
  <si>
    <t>Callie</t>
    <phoneticPr fontId="21"/>
  </si>
  <si>
    <t>Marie</t>
    <phoneticPr fontId="21"/>
  </si>
  <si>
    <t>Pearl</t>
    <phoneticPr fontId="21"/>
  </si>
  <si>
    <t>Marina</t>
    <phoneticPr fontId="21"/>
  </si>
  <si>
    <t>Octoling</t>
  </si>
  <si>
    <t>Charizard</t>
    <phoneticPr fontId="21"/>
  </si>
  <si>
    <t>Pikachu</t>
    <phoneticPr fontId="21"/>
  </si>
  <si>
    <t>Jigglypuff</t>
    <phoneticPr fontId="21"/>
  </si>
  <si>
    <t>Mewtwo</t>
  </si>
  <si>
    <t>Pichu</t>
  </si>
  <si>
    <t>Lucario</t>
    <phoneticPr fontId="21"/>
  </si>
  <si>
    <t>Detective Pikachu</t>
    <phoneticPr fontId="21"/>
  </si>
  <si>
    <t>Pokémon Trainer</t>
    <phoneticPr fontId="21"/>
  </si>
  <si>
    <t>Kirby</t>
    <phoneticPr fontId="21"/>
  </si>
  <si>
    <t>Meta Knight</t>
    <phoneticPr fontId="21"/>
  </si>
  <si>
    <t>King Dedede</t>
    <phoneticPr fontId="21"/>
  </si>
  <si>
    <t>Waddle Dee</t>
    <phoneticPr fontId="21"/>
  </si>
  <si>
    <t>Qbby</t>
    <phoneticPr fontId="21"/>
  </si>
  <si>
    <t>Marth</t>
    <phoneticPr fontId="21"/>
  </si>
  <si>
    <t>Ike</t>
    <phoneticPr fontId="21"/>
  </si>
  <si>
    <t>Lucina</t>
    <phoneticPr fontId="21"/>
  </si>
  <si>
    <t>Robin</t>
    <phoneticPr fontId="21"/>
  </si>
  <si>
    <t>Roy</t>
    <phoneticPr fontId="21"/>
  </si>
  <si>
    <t>Corrin</t>
    <phoneticPr fontId="21"/>
  </si>
  <si>
    <t>Alm</t>
    <phoneticPr fontId="21"/>
  </si>
  <si>
    <t>Celica</t>
    <phoneticPr fontId="21"/>
  </si>
  <si>
    <t>Chrom</t>
    <phoneticPr fontId="21"/>
  </si>
  <si>
    <t>Tiki</t>
    <phoneticPr fontId="21"/>
  </si>
  <si>
    <t>Shulk</t>
    <phoneticPr fontId="21"/>
  </si>
  <si>
    <t>Ness</t>
    <phoneticPr fontId="21"/>
  </si>
  <si>
    <t>Lucas</t>
    <phoneticPr fontId="21"/>
  </si>
  <si>
    <t>Chibi-Robo</t>
    <phoneticPr fontId="21"/>
  </si>
  <si>
    <t>Bayonetta</t>
    <phoneticPr fontId="21"/>
  </si>
  <si>
    <t>PAC-MAN</t>
    <phoneticPr fontId="21"/>
  </si>
  <si>
    <t>Mega Man</t>
    <phoneticPr fontId="21"/>
  </si>
  <si>
    <t>Ryu</t>
    <phoneticPr fontId="21"/>
  </si>
  <si>
    <t>Ken</t>
    <phoneticPr fontId="21"/>
  </si>
  <si>
    <t>Cloud</t>
  </si>
  <si>
    <t>Ver. 3.1
2023/1/16</t>
    <phoneticPr fontId="2"/>
  </si>
  <si>
    <t>HAC-P-XXXX</t>
    <phoneticPr fontId="2"/>
  </si>
  <si>
    <t>NVL-C-AEAS</t>
    <phoneticPr fontId="21"/>
  </si>
  <si>
    <t>NVL-C-AEAT</t>
    <phoneticPr fontId="21"/>
  </si>
  <si>
    <t>NVL-C-AEAU</t>
    <phoneticPr fontId="21"/>
  </si>
  <si>
    <t>NVL-C-AADY</t>
    <phoneticPr fontId="21"/>
  </si>
  <si>
    <t>カズヤ</t>
    <phoneticPr fontId="21"/>
  </si>
  <si>
    <t>NVL-C-AADV</t>
    <phoneticPr fontId="21"/>
  </si>
  <si>
    <t>セフィロス</t>
    <phoneticPr fontId="21"/>
  </si>
  <si>
    <t>NVL-C-AADT</t>
    <phoneticPr fontId="21"/>
  </si>
  <si>
    <t>スティーブ</t>
    <phoneticPr fontId="21"/>
  </si>
  <si>
    <t>NVL-C-AADU</t>
    <phoneticPr fontId="21"/>
  </si>
  <si>
    <t>アレックス</t>
    <phoneticPr fontId="21"/>
  </si>
  <si>
    <t>NVL-AEAS_00_00.ntf</t>
    <phoneticPr fontId="21"/>
  </si>
  <si>
    <t>NVL-AEAT_00_00.ntf</t>
    <phoneticPr fontId="21"/>
  </si>
  <si>
    <t>0x0806</t>
  </si>
  <si>
    <t>シャケ</t>
    <phoneticPr fontId="21"/>
  </si>
  <si>
    <t>0x080601</t>
  </si>
  <si>
    <t>NVL-AEAU_00_00.ntf</t>
    <phoneticPr fontId="21"/>
  </si>
  <si>
    <t>0x33C0</t>
  </si>
  <si>
    <t>0x33C000</t>
  </si>
  <si>
    <t>NVL-AADY_00_00.ntf</t>
    <phoneticPr fontId="21"/>
  </si>
  <si>
    <t>0x3601</t>
  </si>
  <si>
    <t>0x360100</t>
  </si>
  <si>
    <t>NVL-AADV_00_00.ntf</t>
    <phoneticPr fontId="21"/>
  </si>
  <si>
    <t>0x3DC0</t>
  </si>
  <si>
    <t>0x3DC000</t>
  </si>
  <si>
    <t>NVL-AADT_00_00.ntf</t>
    <phoneticPr fontId="21"/>
  </si>
  <si>
    <t>0x3DC1</t>
  </si>
  <si>
    <t>0x3DC100</t>
  </si>
  <si>
    <t>NVL-AADU_00_00.ntf</t>
    <phoneticPr fontId="21"/>
  </si>
  <si>
    <t>amiibo_DataList_20230116.xlsx</t>
    <phoneticPr fontId="2"/>
  </si>
  <si>
    <t>Dark Samus</t>
    <phoneticPr fontId="21"/>
  </si>
  <si>
    <t>Salmonid</t>
    <phoneticPr fontId="21"/>
  </si>
  <si>
    <t>Min Min</t>
    <phoneticPr fontId="21"/>
  </si>
  <si>
    <t>Ivysaur</t>
  </si>
  <si>
    <t>Squirtle</t>
  </si>
  <si>
    <t>Incineroar</t>
    <phoneticPr fontId="21"/>
  </si>
  <si>
    <t>Byleth</t>
    <phoneticPr fontId="21"/>
  </si>
  <si>
    <t>Kazuya</t>
    <phoneticPr fontId="21"/>
  </si>
  <si>
    <t>Sephiroth</t>
    <phoneticPr fontId="21"/>
  </si>
  <si>
    <t>Hero</t>
    <phoneticPr fontId="21"/>
  </si>
  <si>
    <t>Snake</t>
  </si>
  <si>
    <t>Simon</t>
  </si>
  <si>
    <t>Richter</t>
  </si>
  <si>
    <t>Joker</t>
    <phoneticPr fontId="21"/>
  </si>
  <si>
    <t>Banjo &amp; Kazooie</t>
    <phoneticPr fontId="21"/>
  </si>
  <si>
    <t>Terry</t>
    <phoneticPr fontId="21"/>
  </si>
  <si>
    <t>Steve</t>
    <phoneticPr fontId="21"/>
  </si>
  <si>
    <t>Alex</t>
    <phoneticPr fontId="21"/>
  </si>
  <si>
    <r>
      <rPr>
        <sz val="24"/>
        <color theme="1"/>
        <rFont val="Calibri"/>
        <family val="2"/>
        <charset val="128"/>
        <scheme val="minor"/>
      </rPr>
      <t>The amiibo Application Sheet</t>
    </r>
  </si>
  <si>
    <r>
      <rPr>
        <sz val="14"/>
        <color theme="1"/>
        <rFont val="Calibri"/>
        <family val="2"/>
        <charset val="128"/>
        <scheme val="minor"/>
      </rPr>
      <t>Overview</t>
    </r>
  </si>
  <si>
    <t>The purpose of the amiibo Application Sheet is for developers to apply to Nintendo when developing an application that uses amiibo.
For an overview of the development process leading up the application, also refer to the NFP Planning and Operations Manual.</t>
    <phoneticPr fontId="2"/>
  </si>
  <si>
    <r>
      <rPr>
        <sz val="14"/>
        <color theme="1"/>
        <rFont val="Calibri"/>
        <family val="2"/>
        <charset val="128"/>
        <scheme val="minor"/>
      </rPr>
      <t>Submission Steps</t>
    </r>
  </si>
  <si>
    <t>1. Enter the required information on the amiibo Application Sheet.
2. Enter the details of Mii use as necessary.
3. Put the date and application information in the name of this file.
4. Send the file to Nintendo support.
Note: First, describe how you plan to use amiibo. After you have decided (to some extent) on which amiibo to support and how they will be used, fill in the application sheet and send it to Nintendo.
　You do not need to have everything decided from the start. When the amiibo related functionality or design is altered during development of the application, update and resubmit the amiibo Application Sheet.</t>
  </si>
  <si>
    <r>
      <rPr>
        <sz val="14"/>
        <color theme="1"/>
        <rFont val="Calibri"/>
        <family val="2"/>
        <charset val="128"/>
        <scheme val="minor"/>
      </rPr>
      <t>Filling In the amiibo Application Sheet</t>
    </r>
  </si>
  <si>
    <r>
      <t xml:space="preserve">Fill in the following items for each amiibo you plan to use in the application.
For examples of how to enter the required information, see amiibo Application (Example).
Some items like the character name (base) can be entered using the drop-down list.
This drop-down list contains content taken from the amiibo data list.
If you have obtained a newer version of the amiibo data list, update the content of this drop-down list as needed. (The procedure for updating is described later in this document.) In addition to selecting entries from the drop-down list, you can also enter items manually. If you are using an amiibo that is not included in the list, make your entries manually.
Note that when you make entries manually, there is a chance of calculation errors for items like the character ID. If there are errors in such items, manually enter the correct values.
Feel free to change the number of rows as needed.
The application must respond to all amiibo characters, even if only to indicate that an amiibo is not supported. 
Make sure that you fill in the </t>
    </r>
    <r>
      <rPr>
        <b/>
        <sz val="11"/>
        <rFont val="Calibri"/>
        <family val="2"/>
      </rPr>
      <t>Other than the amiibo below</t>
    </r>
    <r>
      <rPr>
        <sz val="11"/>
        <color theme="1"/>
        <rFont val="Calibri"/>
        <family val="2"/>
        <charset val="128"/>
        <scheme val="minor"/>
      </rPr>
      <t xml:space="preserve"> field.</t>
    </r>
  </si>
  <si>
    <t>Purpose of amiibo Use</t>
  </si>
  <si>
    <t>Describe the use of amiibo in the game.</t>
    <phoneticPr fontId="2"/>
  </si>
  <si>
    <t>Use of the Application-Specific Region</t>
  </si>
  <si>
    <r>
      <t xml:space="preserve">Select </t>
    </r>
    <r>
      <rPr>
        <b/>
        <sz val="11"/>
        <rFont val="Calibri"/>
        <family val="2"/>
      </rPr>
      <t>Yes</t>
    </r>
    <r>
      <rPr>
        <sz val="11"/>
        <color theme="1"/>
        <rFont val="Calibri"/>
        <family val="2"/>
        <charset val="128"/>
        <scheme val="minor"/>
      </rPr>
      <t xml:space="preserve"> if the game uses the application-specific region. Select </t>
    </r>
    <r>
      <rPr>
        <b/>
        <sz val="11"/>
        <rFont val="Calibri"/>
        <family val="2"/>
      </rPr>
      <t>No</t>
    </r>
    <r>
      <rPr>
        <sz val="11"/>
        <color theme="1"/>
        <rFont val="Calibri"/>
        <family val="2"/>
        <charset val="128"/>
        <scheme val="minor"/>
      </rPr>
      <t xml:space="preserve"> if it does not.
</t>
    </r>
  </si>
  <si>
    <t>Data Written to Application-Specific Region</t>
  </si>
  <si>
    <t>Describe the data that will be written to the application-specific region.</t>
    <phoneticPr fontId="2"/>
  </si>
  <si>
    <r>
      <rPr>
        <sz val="12"/>
        <color theme="1"/>
        <rFont val="Calibri"/>
        <family val="3"/>
        <charset val="128"/>
        <scheme val="minor"/>
      </rPr>
      <t>Comments</t>
    </r>
  </si>
  <si>
    <t>Enter any comments here.</t>
    <phoneticPr fontId="2"/>
  </si>
  <si>
    <r>
      <rPr>
        <sz val="11"/>
        <color rgb="FFFF0000"/>
        <rFont val="Calibri"/>
        <family val="3"/>
        <charset val="128"/>
        <scheme val="minor"/>
      </rPr>
      <t xml:space="preserve">Note: For applications that access the detailed CharacterID information to determine the character or applications that access the SeriesID, NFP Type, or NumberingID, you must click in the area above row L in the application sheet to display hidden fields that must be entered for such applications.
</t>
    </r>
  </si>
  <si>
    <r>
      <rPr>
        <sz val="14"/>
        <color theme="1"/>
        <rFont val="Calibri"/>
        <family val="2"/>
        <charset val="128"/>
        <scheme val="minor"/>
      </rPr>
      <t>Entering the Details of Mii Use</t>
    </r>
  </si>
  <si>
    <t>If your application uses the amiibo owner's Mii, enter the details about when that happens in the field for Mii use.
Feel free to attach images if necessary.
Normally, you must apply to use Mii characters in an application, but if your application uses the amiibo owner's Mii, you must submit both the amiibo Application Sheet and the Mii Application Sheet together.
These two applications will be taken as the Mii application, so that does not need to be made separately.
If you do make a separate Mii application, indicate that you have done so. You do not need to write the same information on this sheet.</t>
  </si>
  <si>
    <r>
      <rPr>
        <sz val="14"/>
        <color theme="1"/>
        <rFont val="Calibri"/>
        <family val="2"/>
        <charset val="128"/>
        <scheme val="minor"/>
      </rPr>
      <t>Renaming the File</t>
    </r>
  </si>
  <si>
    <t>Replace the following parts of the filename with the appropriate information.</t>
  </si>
  <si>
    <r>
      <rPr>
        <sz val="12"/>
        <color theme="1"/>
        <rFont val="Calibri"/>
        <family val="3"/>
        <charset val="128"/>
        <scheme val="minor"/>
      </rPr>
      <t>ppp</t>
    </r>
  </si>
  <si>
    <t>Platform name. (Use WUP for the Wii U and 3DS for models in the 3DS family.)</t>
    <phoneticPr fontId="2"/>
  </si>
  <si>
    <r>
      <rPr>
        <sz val="12"/>
        <color theme="1"/>
        <rFont val="Calibri"/>
        <family val="3"/>
        <charset val="128"/>
        <scheme val="minor"/>
      </rPr>
      <t>xxxx</t>
    </r>
  </si>
  <si>
    <t>Application's initial code. (Set this code after the initial code has been determined.)</t>
    <phoneticPr fontId="2"/>
  </si>
  <si>
    <r>
      <rPr>
        <sz val="12"/>
        <color theme="1"/>
        <rFont val="Calibri"/>
        <family val="3"/>
        <charset val="128"/>
        <scheme val="minor"/>
      </rPr>
      <t>yyyymmdd</t>
    </r>
  </si>
  <si>
    <t>The date when this file was sent</t>
    <phoneticPr fontId="2"/>
  </si>
  <si>
    <r>
      <rPr>
        <sz val="14"/>
        <color theme="1"/>
        <rFont val="Calibri"/>
        <family val="2"/>
        <charset val="128"/>
        <scheme val="minor"/>
      </rPr>
      <t>Updating the amiibo Data List</t>
    </r>
  </si>
  <si>
    <r>
      <t xml:space="preserve">This file stores sheets with the content of the amiibo data list for an entry aid in the form of a drop-down list, from which values can be selected for entry on the amiibo Application Sheet.
The corresponding sheets are amiibo_DataList, CharacterID, SeriesID and NFP_Type.
The filename of the currently applied amiibo data list is shown in cell A1 of the amiibo_DataList sheet.
If you have a more recent version of this data list and want to use it for entries on the amiibo Application Sheet, use the following procedure to update the data in the file.
　1. Enable the macro if it is not enabled already.
　2. Click the </t>
    </r>
    <r>
      <rPr>
        <b/>
        <sz val="11"/>
        <rFont val="Calibri"/>
        <family val="2"/>
      </rPr>
      <t>Load amiibo Data List</t>
    </r>
    <r>
      <rPr>
        <sz val="11"/>
        <color theme="1"/>
        <rFont val="Calibri"/>
        <family val="2"/>
        <charset val="128"/>
        <scheme val="minor"/>
      </rPr>
      <t xml:space="preserve"> button on the amiibo Application Sheet.
　3. Select the amiibo data list file you want to load in the Open dialog box that is displayed.
　4. This updates the data list stored in the file.
The file cannot be loaded if the amiibo data list and spreadsheet structures differ.
If you load an amiibo data list with a different data format (for example, one with additional columns of data), you are prompted to confirm the update.
Note that because the format is different, the entry aid may stop working correctly if you proceed and data lookup becomes skewed.
The information in the amiibo data list is meant as an aid for data entry. This data list information is not directly required when submitting the amiibo Application Sheet.
The data entered on the amiibo Application Sheet sheets is what is accepted as your application, so check that all items have been entered correctly.</t>
    </r>
  </si>
  <si>
    <r>
      <rPr>
        <sz val="24"/>
        <color theme="1"/>
        <rFont val="Calibri"/>
        <family val="3"/>
        <charset val="128"/>
        <scheme val="minor"/>
      </rPr>
      <t>amiibo Application (Example)</t>
    </r>
  </si>
  <si>
    <r>
      <rPr>
        <b/>
        <sz val="12"/>
        <color theme="1"/>
        <rFont val="Calibri"/>
        <family val="3"/>
        <charset val="128"/>
        <scheme val="minor"/>
      </rPr>
      <t>Product Code</t>
    </r>
  </si>
  <si>
    <r>
      <rPr>
        <b/>
        <sz val="12"/>
        <color theme="1"/>
        <rFont val="Calibri"/>
        <family val="3"/>
        <charset val="128"/>
        <scheme val="minor"/>
      </rPr>
      <t>Title Name</t>
    </r>
  </si>
  <si>
    <t>(The working title is acceptable.)</t>
    <phoneticPr fontId="2"/>
  </si>
  <si>
    <r>
      <rPr>
        <b/>
        <sz val="12"/>
        <color theme="1"/>
        <rFont val="Calibri"/>
        <family val="3"/>
        <charset val="128"/>
        <scheme val="minor"/>
      </rPr>
      <t>Unique ID</t>
    </r>
  </si>
  <si>
    <t xml:space="preserve">(List the unique ID after it is obtained.)
</t>
    <phoneticPr fontId="2"/>
  </si>
  <si>
    <r>
      <rPr>
        <b/>
        <sz val="12"/>
        <color theme="1"/>
        <rFont val="Calibri"/>
        <family val="3"/>
        <charset val="128"/>
        <scheme val="minor"/>
      </rPr>
      <t>Access ID</t>
    </r>
  </si>
  <si>
    <t xml:space="preserve">(Nintendo enters this information as necessary.)
</t>
    <phoneticPr fontId="2"/>
  </si>
  <si>
    <t>Description of amiibo Specifications</t>
  </si>
  <si>
    <t>Describe how the amiibo will be used in the game.
Examples: The character corresponding to the amiibo appears in the game as a playable character. The player can use add-on content upon touching a supported amiibo to the touchpoint.</t>
  </si>
  <si>
    <r>
      <rPr>
        <b/>
        <sz val="10"/>
        <color theme="1"/>
        <rFont val="Calibri"/>
        <family val="3"/>
        <charset val="128"/>
        <scheme val="minor"/>
      </rPr>
      <t>Use of IDs Other Than Character ID Base</t>
    </r>
  </si>
  <si>
    <t>If you are using an ID other than Character ID Base (Upper 2 Bytes), give an overview of it.
For the ID and details you are actually using, click + at the top of column L to display the hidden fields and enter the required information.</t>
    <phoneticPr fontId="2"/>
  </si>
  <si>
    <t>Title Name</t>
    <phoneticPr fontId="2"/>
  </si>
  <si>
    <r>
      <rPr>
        <sz val="10"/>
        <color theme="1"/>
        <rFont val="Calibri"/>
        <family val="3"/>
        <charset val="128"/>
        <scheme val="minor"/>
      </rPr>
      <t>Character Name 
(Base)</t>
    </r>
  </si>
  <si>
    <r>
      <rPr>
        <sz val="10"/>
        <color theme="1"/>
        <rFont val="Calibri"/>
        <family val="3"/>
        <charset val="128"/>
        <scheme val="minor"/>
      </rPr>
      <t>Character ID
Base
(Upper 2 Bytes)</t>
    </r>
  </si>
  <si>
    <r>
      <rPr>
        <sz val="10"/>
        <color theme="1"/>
        <rFont val="Calibri"/>
        <family val="3"/>
        <charset val="128"/>
        <scheme val="minor"/>
      </rPr>
      <t>Character Name 
(Detailed)</t>
    </r>
  </si>
  <si>
    <r>
      <rPr>
        <sz val="10"/>
        <color theme="1"/>
        <rFont val="Calibri"/>
        <family val="3"/>
        <charset val="128"/>
        <scheme val="minor"/>
      </rPr>
      <t>Character ID
Details
(Low 1byte)</t>
    </r>
  </si>
  <si>
    <r>
      <rPr>
        <sz val="10"/>
        <color theme="1"/>
        <rFont val="Calibri"/>
        <family val="3"/>
        <charset val="128"/>
        <scheme val="minor"/>
      </rPr>
      <t>amiibo 
Series Name</t>
    </r>
  </si>
  <si>
    <r>
      <rPr>
        <sz val="10"/>
        <color theme="1"/>
        <rFont val="Calibri"/>
        <family val="3"/>
        <charset val="128"/>
        <scheme val="minor"/>
      </rPr>
      <t>Series ID</t>
    </r>
  </si>
  <si>
    <r>
      <rPr>
        <sz val="10"/>
        <color theme="1"/>
        <rFont val="Calibri"/>
        <family val="3"/>
        <charset val="128"/>
        <scheme val="minor"/>
      </rPr>
      <t>NFP type name</t>
    </r>
  </si>
  <si>
    <r>
      <rPr>
        <sz val="10"/>
        <color theme="1"/>
        <rFont val="Calibri"/>
        <family val="3"/>
        <charset val="128"/>
        <scheme val="minor"/>
      </rPr>
      <t>NFP Type</t>
    </r>
  </si>
  <si>
    <r>
      <rPr>
        <sz val="10"/>
        <color theme="1"/>
        <rFont val="Calibri"/>
        <family val="3"/>
        <charset val="128"/>
        <scheme val="minor"/>
      </rPr>
      <t>Numbering ID</t>
    </r>
  </si>
  <si>
    <r>
      <rPr>
        <sz val="10"/>
        <color theme="1"/>
        <rFont val="Calibri"/>
        <family val="2"/>
        <charset val="128"/>
        <scheme val="minor"/>
      </rPr>
      <t>Purpose of amiibo Use 
(Required)</t>
    </r>
  </si>
  <si>
    <r>
      <rPr>
        <sz val="10"/>
        <color theme="1"/>
        <rFont val="Calibri"/>
        <family val="3"/>
        <charset val="128"/>
        <scheme val="minor"/>
      </rPr>
      <t xml:space="preserve">Use of the Application-Specific Region
</t>
    </r>
  </si>
  <si>
    <r>
      <rPr>
        <sz val="10"/>
        <color theme="1"/>
        <rFont val="Calibri"/>
        <family val="3"/>
        <charset val="128"/>
        <scheme val="minor"/>
      </rPr>
      <t xml:space="preserve">Data Written to Application-Specific Region
</t>
    </r>
  </si>
  <si>
    <r>
      <rPr>
        <sz val="10"/>
        <color theme="1"/>
        <rFont val="Calibri"/>
        <family val="3"/>
        <charset val="128"/>
        <scheme val="minor"/>
      </rPr>
      <t>Comments</t>
    </r>
  </si>
  <si>
    <r>
      <rPr>
        <b/>
        <sz val="11"/>
        <color theme="1"/>
        <rFont val="Calibri"/>
        <family val="3"/>
        <charset val="128"/>
        <scheme val="minor"/>
      </rPr>
      <t>Application Example</t>
    </r>
  </si>
  <si>
    <r>
      <rPr>
        <sz val="11"/>
        <color theme="1"/>
        <rFont val="Calibri"/>
        <family val="3"/>
        <charset val="128"/>
        <scheme val="minor"/>
      </rPr>
      <t>Mario</t>
    </r>
  </si>
  <si>
    <r>
      <rPr>
        <sz val="10"/>
        <color theme="1"/>
        <rFont val="Calibri"/>
        <family val="3"/>
        <charset val="128"/>
        <scheme val="minor"/>
      </rPr>
      <t>• Touching the amiibo to the touchpoint causes that character to appear in the game. 
• Information about equipped items is written in the application-specific region.</t>
    </r>
  </si>
  <si>
    <t>Yes</t>
  </si>
  <si>
    <t>• Equipped item data</t>
    <phoneticPr fontId="2"/>
  </si>
  <si>
    <r>
      <t xml:space="preserve">• In this cell, describe how the application responds when an unsupported amiibo is used. 
</t>
    </r>
    <r>
      <rPr>
        <sz val="10"/>
        <color rgb="FFFF0000"/>
        <rFont val="Calibri"/>
        <family val="3"/>
        <charset val="128"/>
        <scheme val="minor"/>
      </rPr>
      <t>(Make sure that you enter this information.)</t>
    </r>
    <r>
      <rPr>
        <sz val="10"/>
        <color theme="1"/>
        <rFont val="Calibri"/>
        <family val="3"/>
        <charset val="128"/>
        <scheme val="minor"/>
      </rPr>
      <t xml:space="preserve">
Example: The error viewer shows this message: 
"This is not a supported amiibo."</t>
    </r>
  </si>
  <si>
    <t>No</t>
  </si>
  <si>
    <r>
      <rPr>
        <sz val="10"/>
        <color theme="1"/>
        <rFont val="Calibri"/>
        <family val="3"/>
        <charset val="128"/>
        <scheme val="minor"/>
      </rPr>
      <t>• The corresponding character appears and can be used in the game. 
• The character grows each time it is played. 
• Data about the times played and the character's personality is saved in the application-specific region.</t>
    </r>
  </si>
  <si>
    <t>• Times played 
• Personality</t>
    <phoneticPr fontId="2"/>
  </si>
  <si>
    <t>• The corresponding character appears and can be used in the game. 
• The character grows each time it is played. 
• Data about the times played and the character's personality is saved in the application-specific region.</t>
  </si>
  <si>
    <r>
      <rPr>
        <sz val="10"/>
        <color theme="1"/>
        <rFont val="Calibri"/>
        <family val="3"/>
        <charset val="128"/>
        <scheme val="minor"/>
      </rPr>
      <t>• Compatible skins are released.</t>
    </r>
  </si>
  <si>
    <r>
      <rPr>
        <sz val="11"/>
        <color theme="1"/>
        <rFont val="Calibri"/>
        <family val="3"/>
        <charset val="128"/>
        <scheme val="minor"/>
      </rPr>
      <t>Smash Bros. Series</t>
    </r>
  </si>
  <si>
    <r>
      <rPr>
        <sz val="11"/>
        <color theme="1"/>
        <rFont val="Calibri"/>
        <family val="3"/>
        <charset val="128"/>
        <scheme val="minor"/>
      </rPr>
      <t>Super Mario Series</t>
    </r>
  </si>
  <si>
    <r>
      <rPr>
        <sz val="11"/>
        <color theme="1"/>
        <rFont val="Calibri"/>
        <family val="3"/>
        <charset val="128"/>
        <scheme val="minor"/>
      </rPr>
      <t>Other</t>
    </r>
  </si>
  <si>
    <r>
      <rPr>
        <sz val="11"/>
        <color theme="1"/>
        <rFont val="Calibri"/>
        <family val="3"/>
        <charset val="128"/>
        <scheme val="minor"/>
      </rPr>
      <t>Dr. Mario</t>
    </r>
  </si>
  <si>
    <r>
      <rPr>
        <sz val="11"/>
        <color theme="1"/>
        <rFont val="Calibri"/>
        <family val="3"/>
        <charset val="128"/>
        <scheme val="minor"/>
      </rPr>
      <t>Not determined</t>
    </r>
  </si>
  <si>
    <r>
      <rPr>
        <sz val="11"/>
        <color theme="1"/>
        <rFont val="Calibri"/>
        <family val="3"/>
        <charset val="128"/>
        <scheme val="minor"/>
      </rPr>
      <t>Yoshi</t>
    </r>
  </si>
  <si>
    <r>
      <rPr>
        <sz val="11"/>
        <color theme="1"/>
        <rFont val="Calibri"/>
        <family val="3"/>
        <charset val="128"/>
        <scheme val="minor"/>
      </rPr>
      <t>R.O.B.</t>
    </r>
  </si>
  <si>
    <t>Not these amiibo figures</t>
    <phoneticPr fontId="2"/>
  </si>
  <si>
    <t>Luigi</t>
    <phoneticPr fontId="2"/>
  </si>
  <si>
    <t>R.O.B.</t>
  </si>
  <si>
    <r>
      <rPr>
        <sz val="24"/>
        <color theme="1"/>
        <rFont val="Calibri"/>
        <family val="3"/>
        <charset val="128"/>
        <scheme val="minor"/>
      </rPr>
      <t>amiibo Application Sheet</t>
    </r>
  </si>
  <si>
    <r>
      <rPr>
        <sz val="10"/>
        <color theme="1"/>
        <rFont val="Calibri"/>
        <family val="3"/>
        <charset val="128"/>
        <scheme val="minor"/>
      </rPr>
      <t>Character ID
Base
(High 2byte)</t>
    </r>
  </si>
  <si>
    <r>
      <rPr>
        <sz val="10"/>
        <color theme="1"/>
        <rFont val="Calibri"/>
        <family val="2"/>
        <charset val="128"/>
        <scheme val="minor"/>
      </rPr>
      <t>Purpose of amiibo Use
(Required)</t>
    </r>
  </si>
  <si>
    <r>
      <rPr>
        <sz val="24"/>
        <color theme="1"/>
        <rFont val="Calibri"/>
        <family val="2"/>
        <charset val="128"/>
        <scheme val="minor"/>
      </rPr>
      <t>Mii Use</t>
    </r>
  </si>
  <si>
    <t>If your application uses the amiibo owner's Mii, fill in this sheet.
If you do make a separate Mii application, indicate that you have done so. You do not need to write the same information on this sheet.</t>
    <phoneticPr fontId="2"/>
  </si>
  <si>
    <t>Situations in which the amiibo owner's Mii is used.</t>
    <phoneticPr fontId="2"/>
  </si>
  <si>
    <t>Note: Supports amiibo Data List in 2023-01-16 and later versions.</t>
  </si>
  <si>
    <t>Mario</t>
    <phoneticPr fontId="18"/>
  </si>
  <si>
    <t>Release date 2014-12-06</t>
    <phoneticPr fontId="2"/>
  </si>
  <si>
    <t>Release date 2014-11-21</t>
  </si>
  <si>
    <t>Release date 2014-11-28</t>
    <phoneticPr fontId="2"/>
  </si>
  <si>
    <t>Release date 2015-03-12</t>
    <phoneticPr fontId="2"/>
  </si>
  <si>
    <t>Release date 2015-03-20</t>
    <phoneticPr fontId="2"/>
  </si>
  <si>
    <t>Release date 2015-12-17</t>
    <phoneticPr fontId="18"/>
  </si>
  <si>
    <t>Release date 2015-03-20</t>
    <phoneticPr fontId="18"/>
  </si>
  <si>
    <t>Not Yet Available</t>
    <phoneticPr fontId="18"/>
  </si>
  <si>
    <t>Release date 2015-05-29</t>
    <phoneticPr fontId="18"/>
  </si>
  <si>
    <t>Release date 2015-09-10</t>
    <phoneticPr fontId="18"/>
  </si>
  <si>
    <t>Release date 2015-09-11</t>
    <phoneticPr fontId="18"/>
  </si>
  <si>
    <t>Release date 2015-10-23</t>
    <phoneticPr fontId="18"/>
  </si>
  <si>
    <t>Release date 2017-10-27</t>
    <phoneticPr fontId="18"/>
  </si>
  <si>
    <t>Dr. Mario</t>
    <phoneticPr fontId="18"/>
  </si>
  <si>
    <t>Release date 2015-07-30</t>
    <phoneticPr fontId="18"/>
  </si>
  <si>
    <t>Release date 2015-07-17</t>
    <phoneticPr fontId="18"/>
  </si>
  <si>
    <t>Cat Mario</t>
    <phoneticPr fontId="18"/>
  </si>
  <si>
    <t>Release date 2021-02-12</t>
    <phoneticPr fontId="18"/>
  </si>
  <si>
    <t>Luigi</t>
    <phoneticPr fontId="18"/>
  </si>
  <si>
    <t>Release date 2014-12-14</t>
    <phoneticPr fontId="18"/>
  </si>
  <si>
    <t>Release date 2014-12-19</t>
    <phoneticPr fontId="2"/>
  </si>
  <si>
    <t>Peach</t>
    <phoneticPr fontId="18"/>
  </si>
  <si>
    <t>Cat Peach</t>
    <phoneticPr fontId="18"/>
  </si>
  <si>
    <t>Yoshi</t>
    <phoneticPr fontId="18"/>
  </si>
  <si>
    <t>Green Yarn Yoshi</t>
    <phoneticPr fontId="18"/>
  </si>
  <si>
    <t>Release date 2015-07-16</t>
    <phoneticPr fontId="18"/>
  </si>
  <si>
    <t>Release date 2015-10-16</t>
    <phoneticPr fontId="18"/>
  </si>
  <si>
    <t>Release date 2015-06-26</t>
    <phoneticPr fontId="18"/>
  </si>
  <si>
    <t>Pink Yarn Yoshi</t>
    <phoneticPr fontId="18"/>
  </si>
  <si>
    <t>Light-Blue Yarn Yoshi</t>
    <phoneticPr fontId="18"/>
  </si>
  <si>
    <t>Mega Yarn Yoshi</t>
    <phoneticPr fontId="18"/>
  </si>
  <si>
    <t>Release date 2015-12-10</t>
    <phoneticPr fontId="18"/>
  </si>
  <si>
    <t>Release date 2015-11-15</t>
    <phoneticPr fontId="18"/>
  </si>
  <si>
    <t>Release date 2015-11-27</t>
    <phoneticPr fontId="18"/>
  </si>
  <si>
    <t>Rosalina</t>
    <phoneticPr fontId="18"/>
  </si>
  <si>
    <t>Release date 2016-10-20</t>
    <phoneticPr fontId="18"/>
  </si>
  <si>
    <t>Release date 2016-11-04</t>
    <phoneticPr fontId="18"/>
  </si>
  <si>
    <t>Release date 2016-10-07</t>
    <phoneticPr fontId="18"/>
  </si>
  <si>
    <t>Release date 2015-01-22</t>
    <phoneticPr fontId="18"/>
  </si>
  <si>
    <t>Release date 2015-02</t>
    <phoneticPr fontId="18"/>
  </si>
  <si>
    <t>Release date 2015-01-23</t>
    <phoneticPr fontId="18"/>
  </si>
  <si>
    <t>Bowser</t>
    <phoneticPr fontId="18"/>
  </si>
  <si>
    <t>Bowser Jr.</t>
    <phoneticPr fontId="18"/>
  </si>
  <si>
    <t>Wario</t>
    <phoneticPr fontId="18"/>
  </si>
  <si>
    <t>Release date 2015-04-29</t>
    <phoneticPr fontId="18"/>
  </si>
  <si>
    <t>Release date 2015-04-24</t>
    <phoneticPr fontId="18"/>
  </si>
  <si>
    <t>Donkey Kong</t>
    <phoneticPr fontId="18"/>
  </si>
  <si>
    <t>Diddy Kong</t>
    <phoneticPr fontId="18"/>
  </si>
  <si>
    <t>Toad</t>
    <phoneticPr fontId="18"/>
  </si>
  <si>
    <t>Daisy</t>
    <phoneticPr fontId="18"/>
  </si>
  <si>
    <t>Release date 2019-04-12</t>
    <phoneticPr fontId="2"/>
  </si>
  <si>
    <t>Waluigi</t>
    <phoneticPr fontId="18"/>
  </si>
  <si>
    <t>Goomba</t>
    <phoneticPr fontId="18"/>
  </si>
  <si>
    <t>Release date 2017-10-05</t>
    <phoneticPr fontId="18"/>
  </si>
  <si>
    <t>Release date 2017-10-06</t>
    <phoneticPr fontId="18"/>
  </si>
  <si>
    <t>Boo</t>
    <phoneticPr fontId="18"/>
  </si>
  <si>
    <t>Koopa Troopa</t>
    <phoneticPr fontId="18"/>
  </si>
  <si>
    <t>Piranha Plant</t>
    <phoneticPr fontId="18"/>
  </si>
  <si>
    <t>Release date 2019-02-15</t>
    <phoneticPr fontId="2"/>
  </si>
  <si>
    <t>Yarn Poochy</t>
    <phoneticPr fontId="18"/>
  </si>
  <si>
    <t>Release date 2017-01-19</t>
    <phoneticPr fontId="2"/>
  </si>
  <si>
    <t>Release date 2017-02-03</t>
    <phoneticPr fontId="2"/>
  </si>
  <si>
    <t>Poochy</t>
    <phoneticPr fontId="18"/>
  </si>
  <si>
    <t>King K.Rool</t>
    <phoneticPr fontId="18"/>
  </si>
  <si>
    <t>Link</t>
    <phoneticPr fontId="18"/>
  </si>
  <si>
    <t>Release date 2016-12-01</t>
    <phoneticPr fontId="2"/>
  </si>
  <si>
    <t>Release date 2016-12-02</t>
    <phoneticPr fontId="2"/>
  </si>
  <si>
    <t>Release date 2017-06-22</t>
    <phoneticPr fontId="2"/>
  </si>
  <si>
    <t>Release date 2017-06-23</t>
    <phoneticPr fontId="2"/>
  </si>
  <si>
    <t>Release date 2017-03-03</t>
    <phoneticPr fontId="2"/>
  </si>
  <si>
    <t>Young Link</t>
    <phoneticPr fontId="18"/>
  </si>
  <si>
    <t>Release date 2019-09-20</t>
    <phoneticPr fontId="2"/>
  </si>
  <si>
    <t>Toon Link</t>
    <phoneticPr fontId="18"/>
  </si>
  <si>
    <t>Zelda</t>
    <phoneticPr fontId="18"/>
  </si>
  <si>
    <t>Sheik</t>
    <phoneticPr fontId="18"/>
  </si>
  <si>
    <t>Ganondorf</t>
    <phoneticPr fontId="18"/>
  </si>
  <si>
    <t>Release date 2015-06-11</t>
    <phoneticPr fontId="18"/>
  </si>
  <si>
    <t>Ganon</t>
    <phoneticPr fontId="18"/>
  </si>
  <si>
    <t>Wolf Link</t>
    <phoneticPr fontId="18"/>
  </si>
  <si>
    <t>Release date 2016-03-10</t>
    <phoneticPr fontId="18"/>
  </si>
  <si>
    <t>Release date 2016-03-04</t>
    <phoneticPr fontId="18"/>
  </si>
  <si>
    <t>Daruk</t>
    <phoneticPr fontId="18"/>
  </si>
  <si>
    <t>Release date 2017-11-10</t>
    <phoneticPr fontId="18"/>
  </si>
  <si>
    <t>Urbosa</t>
    <phoneticPr fontId="18"/>
  </si>
  <si>
    <t>Mipha</t>
    <phoneticPr fontId="18"/>
  </si>
  <si>
    <t>Revali</t>
    <phoneticPr fontId="18"/>
  </si>
  <si>
    <t>Guardian</t>
    <phoneticPr fontId="18"/>
  </si>
  <si>
    <t>Bokoblin</t>
    <phoneticPr fontId="18"/>
  </si>
  <si>
    <t>Villager</t>
    <phoneticPr fontId="18"/>
  </si>
  <si>
    <t>Isabelle</t>
    <phoneticPr fontId="18"/>
  </si>
  <si>
    <t>Release date 2016-03-24</t>
    <phoneticPr fontId="18"/>
  </si>
  <si>
    <t>Release date 2016-06-10</t>
    <phoneticPr fontId="18"/>
  </si>
  <si>
    <t>Release date 2016-03-18</t>
    <phoneticPr fontId="18"/>
  </si>
  <si>
    <t>Release date 2019-07-19</t>
    <phoneticPr fontId="2"/>
  </si>
  <si>
    <t>Release date 2015-11-21</t>
    <phoneticPr fontId="18"/>
  </si>
  <si>
    <t>Release date 2015-11-13</t>
    <phoneticPr fontId="18"/>
  </si>
  <si>
    <t>Release date 2015-11-20</t>
    <phoneticPr fontId="18"/>
  </si>
  <si>
    <t>K.K.</t>
    <phoneticPr fontId="18"/>
  </si>
  <si>
    <t>Tom Nook</t>
    <phoneticPr fontId="2"/>
  </si>
  <si>
    <t>Timmy &amp; Tommy</t>
    <phoneticPr fontId="2"/>
  </si>
  <si>
    <t>Mabel</t>
    <phoneticPr fontId="2"/>
  </si>
  <si>
    <t>Reese</t>
    <phoneticPr fontId="2"/>
  </si>
  <si>
    <t>Cyrus</t>
    <phoneticPr fontId="2"/>
  </si>
  <si>
    <t>Digby</t>
    <phoneticPr fontId="2"/>
  </si>
  <si>
    <t>Rover</t>
    <phoneticPr fontId="2"/>
  </si>
  <si>
    <t>Resetti</t>
    <phoneticPr fontId="2"/>
  </si>
  <si>
    <t>Release date 2016-01-22</t>
    <phoneticPr fontId="18"/>
  </si>
  <si>
    <t>Release date 2016-01-29</t>
    <phoneticPr fontId="18"/>
  </si>
  <si>
    <t>Blathers</t>
    <phoneticPr fontId="2"/>
  </si>
  <si>
    <t>Celeste</t>
    <phoneticPr fontId="2"/>
  </si>
  <si>
    <t>Kicks</t>
    <phoneticPr fontId="2"/>
  </si>
  <si>
    <t>Kapp'n</t>
    <phoneticPr fontId="2"/>
  </si>
  <si>
    <t>Lottie</t>
    <phoneticPr fontId="2"/>
  </si>
  <si>
    <t>Release date 2015-11-22</t>
    <phoneticPr fontId="18"/>
  </si>
  <si>
    <t>Fox</t>
    <phoneticPr fontId="18"/>
  </si>
  <si>
    <t>Falco</t>
    <phoneticPr fontId="18"/>
  </si>
  <si>
    <t>Release date 2015-11-05</t>
    <phoneticPr fontId="18"/>
  </si>
  <si>
    <t>Wolf</t>
    <phoneticPr fontId="18"/>
  </si>
  <si>
    <t>Release date 2018-12-07</t>
    <phoneticPr fontId="2"/>
  </si>
  <si>
    <t>Samus</t>
    <phoneticPr fontId="18"/>
  </si>
  <si>
    <t>Samus Aran</t>
    <phoneticPr fontId="18"/>
  </si>
  <si>
    <t>Release date 2017-09-15</t>
    <phoneticPr fontId="18"/>
  </si>
  <si>
    <t>Zero Suit Samus</t>
    <phoneticPr fontId="18"/>
  </si>
  <si>
    <t>Metroid</t>
    <phoneticPr fontId="18"/>
  </si>
  <si>
    <t>Ridley</t>
    <phoneticPr fontId="18"/>
  </si>
  <si>
    <t>Dark Samus</t>
    <phoneticPr fontId="18"/>
  </si>
  <si>
    <t>Release date 2020-01-17</t>
    <phoneticPr fontId="2"/>
  </si>
  <si>
    <t>Captain Falcon</t>
    <phoneticPr fontId="18"/>
  </si>
  <si>
    <t>Olimar</t>
    <phoneticPr fontId="18"/>
  </si>
  <si>
    <t>Pikmin</t>
    <phoneticPr fontId="18"/>
  </si>
  <si>
    <t>Release date 2017-07-13</t>
    <phoneticPr fontId="18"/>
  </si>
  <si>
    <t>Release date 2017-07-28</t>
    <phoneticPr fontId="18"/>
  </si>
  <si>
    <t>Little Mac</t>
    <phoneticPr fontId="18"/>
  </si>
  <si>
    <t>Wii Fit Trainer</t>
    <phoneticPr fontId="22"/>
  </si>
  <si>
    <t>Pit</t>
    <phoneticPr fontId="18"/>
  </si>
  <si>
    <t>Dark Pit</t>
    <phoneticPr fontId="18"/>
  </si>
  <si>
    <t>Release date 2015-07-31</t>
    <phoneticPr fontId="18"/>
  </si>
  <si>
    <t>Palutena</t>
    <phoneticPr fontId="18"/>
  </si>
  <si>
    <t>Release date 2015-07-27</t>
    <phoneticPr fontId="18"/>
  </si>
  <si>
    <t>Mr. Game &amp; Watch</t>
    <phoneticPr fontId="22"/>
  </si>
  <si>
    <t>Release date 2015-10-29</t>
    <phoneticPr fontId="18"/>
  </si>
  <si>
    <t>Release date 2015-09-25</t>
    <phoneticPr fontId="18"/>
  </si>
  <si>
    <t>R.O.B.</t>
    <phoneticPr fontId="18"/>
  </si>
  <si>
    <t>Release date 2016-03-28</t>
    <phoneticPr fontId="18"/>
  </si>
  <si>
    <t>Duck Hunt</t>
    <phoneticPr fontId="18"/>
  </si>
  <si>
    <t>Ice Climbers</t>
    <phoneticPr fontId="18"/>
  </si>
  <si>
    <t>Mii Brawler</t>
    <phoneticPr fontId="18"/>
  </si>
  <si>
    <t>Release date 2015-11-01</t>
    <phoneticPr fontId="18"/>
  </si>
  <si>
    <t>Mii Swordfighter</t>
    <phoneticPr fontId="18"/>
  </si>
  <si>
    <t>Mii Gunner</t>
    <phoneticPr fontId="18"/>
  </si>
  <si>
    <t>Inkling Girl</t>
    <phoneticPr fontId="18"/>
  </si>
  <si>
    <t>Release date 2015-05-28</t>
    <phoneticPr fontId="18"/>
  </si>
  <si>
    <t>Inkling</t>
  </si>
  <si>
    <t>Release date 2016-07-07</t>
    <phoneticPr fontId="18"/>
  </si>
  <si>
    <t>Release date 2016-07-08</t>
    <phoneticPr fontId="18"/>
  </si>
  <si>
    <t>Release date 2017-07-21</t>
    <phoneticPr fontId="18"/>
  </si>
  <si>
    <t>Inkling</t>
    <phoneticPr fontId="18"/>
  </si>
  <si>
    <t>Inkling Boy</t>
    <phoneticPr fontId="18"/>
  </si>
  <si>
    <t>Inkling Squid</t>
    <phoneticPr fontId="18"/>
  </si>
  <si>
    <t>Callie</t>
    <phoneticPr fontId="18"/>
  </si>
  <si>
    <t>Marie</t>
    <phoneticPr fontId="18"/>
  </si>
  <si>
    <t>Pearl</t>
    <phoneticPr fontId="18"/>
  </si>
  <si>
    <t>Release date 2018-07-13</t>
    <phoneticPr fontId="18"/>
  </si>
  <si>
    <t>Marina</t>
    <phoneticPr fontId="18"/>
  </si>
  <si>
    <t>Octoling Girl</t>
    <phoneticPr fontId="18"/>
  </si>
  <si>
    <t>Release date 2018-11-09</t>
    <phoneticPr fontId="18"/>
  </si>
  <si>
    <t>Release date 2018-12-07</t>
    <phoneticPr fontId="18"/>
  </si>
  <si>
    <t>Octoling</t>
    <phoneticPr fontId="18"/>
  </si>
  <si>
    <t>Octoling Boy</t>
    <phoneticPr fontId="18"/>
  </si>
  <si>
    <t>Octoling Octopus</t>
    <phoneticPr fontId="18"/>
  </si>
  <si>
    <t>Charizard</t>
    <phoneticPr fontId="18"/>
  </si>
  <si>
    <t>Pikachu</t>
    <phoneticPr fontId="18"/>
  </si>
  <si>
    <t>Jigglypuff</t>
    <phoneticPr fontId="18"/>
  </si>
  <si>
    <t>Lucario</t>
    <phoneticPr fontId="18"/>
  </si>
  <si>
    <t>Incineroar</t>
    <phoneticPr fontId="18"/>
  </si>
  <si>
    <t>Release date 2019-11-08</t>
    <phoneticPr fontId="2"/>
  </si>
  <si>
    <t>Release date 2019-11-15</t>
    <phoneticPr fontId="2"/>
  </si>
  <si>
    <t>Detective Pikachu</t>
    <phoneticPr fontId="18"/>
  </si>
  <si>
    <t>Release date 2018-03-23</t>
    <phoneticPr fontId="2"/>
  </si>
  <si>
    <t>Pokémon Trainer</t>
    <phoneticPr fontId="18"/>
  </si>
  <si>
    <t>Kirby</t>
    <phoneticPr fontId="18"/>
  </si>
  <si>
    <t>Release date 2016-04-28</t>
    <phoneticPr fontId="18"/>
  </si>
  <si>
    <t>Meta Knight</t>
    <phoneticPr fontId="18"/>
  </si>
  <si>
    <t>Release date 2015-02-20</t>
    <phoneticPr fontId="18"/>
  </si>
  <si>
    <t>King Dedede</t>
    <phoneticPr fontId="18"/>
  </si>
  <si>
    <t>Waddle Dee</t>
    <phoneticPr fontId="18"/>
  </si>
  <si>
    <t>Qbby</t>
    <phoneticPr fontId="18"/>
  </si>
  <si>
    <t>Release date 2017-02-02</t>
    <phoneticPr fontId="2"/>
  </si>
  <si>
    <t>Marth</t>
    <phoneticPr fontId="18"/>
  </si>
  <si>
    <t>Ike</t>
    <phoneticPr fontId="18"/>
  </si>
  <si>
    <t>Lucina</t>
    <phoneticPr fontId="18"/>
  </si>
  <si>
    <t>Robin</t>
    <phoneticPr fontId="18"/>
  </si>
  <si>
    <t>Roy</t>
    <phoneticPr fontId="18"/>
  </si>
  <si>
    <t>Corrin</t>
    <phoneticPr fontId="18"/>
  </si>
  <si>
    <t>Alm</t>
    <phoneticPr fontId="18"/>
  </si>
  <si>
    <t>Release date 2017-04-20</t>
    <phoneticPr fontId="2"/>
  </si>
  <si>
    <t>Release date 2017-05-19</t>
    <phoneticPr fontId="2"/>
  </si>
  <si>
    <t>Celica</t>
    <phoneticPr fontId="18"/>
  </si>
  <si>
    <t>Chrom</t>
    <phoneticPr fontId="18"/>
  </si>
  <si>
    <t>Release date 2017-09-28</t>
    <phoneticPr fontId="18"/>
  </si>
  <si>
    <t>Release date 2017-10-13</t>
    <phoneticPr fontId="18"/>
  </si>
  <si>
    <t>Release date 2017-10-20</t>
    <phoneticPr fontId="18"/>
  </si>
  <si>
    <t>Tiki</t>
    <phoneticPr fontId="18"/>
  </si>
  <si>
    <t>Byleth</t>
    <phoneticPr fontId="18"/>
  </si>
  <si>
    <t>Release date 2021-03-26</t>
    <phoneticPr fontId="18"/>
  </si>
  <si>
    <t>Shulk</t>
    <phoneticPr fontId="18"/>
  </si>
  <si>
    <t>Release date 2015-02-19</t>
    <phoneticPr fontId="18"/>
  </si>
  <si>
    <t>Ness</t>
    <phoneticPr fontId="18"/>
  </si>
  <si>
    <t>Lucas</t>
    <phoneticPr fontId="18"/>
  </si>
  <si>
    <r>
      <rPr>
        <sz val="11"/>
        <rFont val="Calibri"/>
        <family val="3"/>
        <charset val="128"/>
        <scheme val="minor"/>
      </rPr>
      <t>Release date 2016-01-22</t>
    </r>
  </si>
  <si>
    <r>
      <rPr>
        <sz val="11"/>
        <rFont val="Calibri"/>
        <family val="3"/>
        <charset val="128"/>
        <scheme val="minor"/>
      </rPr>
      <t>Release date 2016-01-29</t>
    </r>
  </si>
  <si>
    <t>Chibi-Robo</t>
    <phoneticPr fontId="18"/>
  </si>
  <si>
    <r>
      <rPr>
        <sz val="11"/>
        <rFont val="Calibri"/>
        <family val="3"/>
        <charset val="128"/>
        <scheme val="minor"/>
      </rPr>
      <t>Release date 2015-10-08</t>
    </r>
  </si>
  <si>
    <r>
      <rPr>
        <sz val="11"/>
        <rFont val="Calibri"/>
        <family val="3"/>
        <charset val="128"/>
        <scheme val="minor"/>
      </rPr>
      <t>Release date 2015-10-09</t>
    </r>
  </si>
  <si>
    <r>
      <rPr>
        <sz val="11"/>
        <rFont val="Calibri"/>
        <family val="3"/>
        <charset val="128"/>
        <scheme val="minor"/>
      </rPr>
      <t>Release date 2015-11-06</t>
    </r>
  </si>
  <si>
    <t>Sonic the Hedgehog</t>
    <phoneticPr fontId="18"/>
  </si>
  <si>
    <t>Bayonetta</t>
    <phoneticPr fontId="18"/>
  </si>
  <si>
    <t>Release date 2017-07-21</t>
  </si>
  <si>
    <t>PAC-MAN</t>
    <phoneticPr fontId="18"/>
  </si>
  <si>
    <t>Mega Man</t>
    <phoneticPr fontId="18"/>
  </si>
  <si>
    <t>Ryu</t>
    <phoneticPr fontId="18"/>
  </si>
  <si>
    <t>Ken</t>
    <phoneticPr fontId="18"/>
  </si>
  <si>
    <t>Cloud</t>
    <phoneticPr fontId="18"/>
  </si>
  <si>
    <t>Hero</t>
    <phoneticPr fontId="18"/>
  </si>
  <si>
    <t>Release date 2020-09-25</t>
    <phoneticPr fontId="18"/>
  </si>
  <si>
    <t>Release date 2020-10-02</t>
    <phoneticPr fontId="18"/>
  </si>
  <si>
    <t>Snake</t>
    <phoneticPr fontId="18"/>
  </si>
  <si>
    <t>Simon</t>
    <phoneticPr fontId="18"/>
  </si>
  <si>
    <t>Richter</t>
    <phoneticPr fontId="18"/>
  </si>
  <si>
    <t>Joker</t>
    <phoneticPr fontId="18"/>
  </si>
  <si>
    <t>Banjo &amp; Kazooie</t>
    <phoneticPr fontId="18"/>
  </si>
  <si>
    <t>Terry</t>
    <phoneticPr fontId="18"/>
  </si>
  <si>
    <t>Inkling [yellow]</t>
    <phoneticPr fontId="8"/>
  </si>
  <si>
    <t>Released 2022/11/11</t>
    <phoneticPr fontId="8"/>
  </si>
  <si>
    <t>Octoling [blue]</t>
    <phoneticPr fontId="8"/>
  </si>
  <si>
    <t>Octoling</t>
    <phoneticPr fontId="8"/>
  </si>
  <si>
    <t>Smallfry</t>
    <phoneticPr fontId="8"/>
  </si>
  <si>
    <t>Salmonid</t>
    <phoneticPr fontId="8"/>
  </si>
  <si>
    <t>Kazuya</t>
    <phoneticPr fontId="8"/>
  </si>
  <si>
    <t>Released 2023/01/13</t>
    <phoneticPr fontId="8"/>
  </si>
  <si>
    <t>Sephiroth</t>
    <phoneticPr fontId="8"/>
  </si>
  <si>
    <t>Steve</t>
    <phoneticPr fontId="8"/>
  </si>
  <si>
    <t>Released 2022/9/9</t>
    <phoneticPr fontId="8"/>
  </si>
  <si>
    <t>Alex</t>
    <phoneticPr fontId="8"/>
  </si>
  <si>
    <t>Min Min</t>
  </si>
  <si>
    <t>Release date 2022-04-29</t>
  </si>
  <si>
    <t>Release date 2021-10-08</t>
    <phoneticPr fontId="7"/>
  </si>
  <si>
    <t>Release date 2021-11-05</t>
    <phoneticPr fontId="7"/>
  </si>
  <si>
    <t>Samus</t>
    <phoneticPr fontId="7"/>
  </si>
  <si>
    <t>Release date 2021-07-16</t>
    <phoneticPr fontId="7"/>
  </si>
  <si>
    <t>Zelda</t>
    <phoneticPr fontId="7"/>
  </si>
  <si>
    <t>Zelda &amp; Loftwing</t>
    <phoneticPr fontId="7"/>
  </si>
  <si>
    <t>Skyward Sword</t>
    <phoneticPr fontId="7"/>
  </si>
  <si>
    <r>
      <rPr>
        <sz val="11"/>
        <color theme="1"/>
        <rFont val="Calibri"/>
        <family val="2"/>
        <charset val="128"/>
        <scheme val="minor"/>
      </rPr>
      <t>Super Mario Odyssey</t>
    </r>
  </si>
  <si>
    <r>
      <rPr>
        <sz val="11"/>
        <color theme="1"/>
        <rFont val="Calibri"/>
        <family val="2"/>
        <charset val="128"/>
        <scheme val="minor"/>
      </rPr>
      <t>Ocarina of Time</t>
    </r>
  </si>
  <si>
    <r>
      <rPr>
        <sz val="11"/>
        <color theme="1"/>
        <rFont val="Calibri"/>
        <family val="2"/>
        <charset val="128"/>
        <scheme val="minor"/>
      </rPr>
      <t>Majora's Mask</t>
    </r>
  </si>
  <si>
    <r>
      <rPr>
        <sz val="11"/>
        <color theme="1"/>
        <rFont val="Calibri"/>
        <family val="2"/>
        <charset val="128"/>
        <scheme val="minor"/>
      </rPr>
      <t>Twilight Princess</t>
    </r>
  </si>
  <si>
    <r>
      <rPr>
        <sz val="11"/>
        <color theme="1"/>
        <rFont val="Calibri"/>
        <family val="2"/>
        <charset val="128"/>
        <scheme val="minor"/>
      </rPr>
      <t>Skyward Sword</t>
    </r>
  </si>
  <si>
    <r>
      <rPr>
        <sz val="11"/>
        <color theme="1"/>
        <rFont val="Calibri"/>
        <family val="2"/>
        <charset val="128"/>
        <scheme val="minor"/>
      </rPr>
      <t>The Legend of Zelda</t>
    </r>
  </si>
  <si>
    <r>
      <rPr>
        <sz val="11"/>
        <color theme="1"/>
        <rFont val="Calibri"/>
        <family val="2"/>
        <charset val="128"/>
        <scheme val="minor"/>
      </rPr>
      <t>Breath of the Wild</t>
    </r>
  </si>
  <si>
    <r>
      <rPr>
        <sz val="11"/>
        <color theme="1"/>
        <rFont val="Calibri"/>
        <family val="2"/>
        <charset val="128"/>
        <scheme val="minor"/>
      </rPr>
      <t>Link's Awakening</t>
    </r>
  </si>
  <si>
    <r>
      <rPr>
        <sz val="11"/>
        <color theme="1"/>
        <rFont val="Calibri"/>
        <family val="2"/>
        <charset val="128"/>
        <scheme val="minor"/>
      </rPr>
      <t>The Wind Waker</t>
    </r>
  </si>
  <si>
    <t>Metroid Dread</t>
    <phoneticPr fontId="7"/>
  </si>
  <si>
    <t>Japanese version colors.
Overseas version colors are NumberingID:51.</t>
    <phoneticPr fontId="4"/>
  </si>
  <si>
    <t>NES (overseas version) colors.
The CharacterID is the same as the Japanese version colors.</t>
    <phoneticPr fontId="4"/>
  </si>
  <si>
    <r>
      <rPr>
        <sz val="11"/>
        <color theme="1"/>
        <rFont val="Calibri"/>
        <family val="2"/>
        <charset val="128"/>
        <scheme val="minor"/>
      </rPr>
      <t>Player 2</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</si>
</sst>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5">
    <font>
      <sz val="11"/>
      <color theme="1"/>
      <name val="Calibri"/>
      <family val="2"/>
      <charset val="128"/>
      <scheme val="minor"/>
    </font>
    <font>
      <sz val="11"/>
      <color theme="1"/>
      <name val="Calibri"/>
      <family val="2"/>
      <charset val="128"/>
      <scheme val="minor"/>
    </font>
    <font>
      <sz val="6"/>
      <name val="Calibri"/>
      <family val="2"/>
      <charset val="128"/>
      <scheme val="minor"/>
    </font>
    <font>
      <sz val="10"/>
      <color theme="1"/>
      <name val="Calibri"/>
      <family val="2"/>
      <charset val="128"/>
      <scheme val="minor"/>
    </font>
    <font>
      <sz val="24"/>
      <color theme="1"/>
      <name val="Calibri"/>
      <family val="2"/>
      <charset val="128"/>
      <scheme val="minor"/>
    </font>
    <font>
      <sz val="10"/>
      <color theme="1"/>
      <name val="Calibri"/>
      <family val="3"/>
      <charset val="128"/>
      <scheme val="minor"/>
    </font>
    <font>
      <b/>
      <sz val="11"/>
      <color theme="1"/>
      <name val="Calibri"/>
      <family val="3"/>
      <charset val="128"/>
      <scheme val="minor"/>
    </font>
    <font>
      <b/>
      <sz val="9"/>
      <color indexed="81"/>
      <name val="ＭＳ Ｐゴシック"/>
      <family val="3"/>
      <charset val="128"/>
    </font>
    <font>
      <sz val="11"/>
      <color theme="1"/>
      <name val="Calibri"/>
      <family val="2"/>
      <scheme val="minor"/>
    </font>
    <font>
      <b/>
      <sz val="11"/>
      <color theme="1"/>
      <name val="Arial"/>
      <family val="2"/>
    </font>
    <font>
      <sz val="11"/>
      <color theme="0"/>
      <name val="Calibri"/>
      <family val="2"/>
      <charset val="128"/>
      <scheme val="minor"/>
    </font>
    <font>
      <sz val="11"/>
      <color theme="1"/>
      <name val="Arial"/>
      <family val="2"/>
    </font>
    <font>
      <sz val="11"/>
      <color theme="1"/>
      <name val="Calibri"/>
      <family val="3"/>
      <charset val="128"/>
      <scheme val="minor"/>
    </font>
    <font>
      <sz val="14"/>
      <color theme="1"/>
      <name val="Calibri"/>
      <family val="2"/>
      <charset val="128"/>
      <scheme val="minor"/>
    </font>
    <font>
      <sz val="11"/>
      <color rgb="FFFF0000"/>
      <name val="Calibri"/>
      <family val="3"/>
      <charset val="128"/>
      <scheme val="minor"/>
    </font>
    <font>
      <sz val="12"/>
      <color theme="1"/>
      <name val="Calibri"/>
      <family val="3"/>
      <charset val="128"/>
      <scheme val="minor"/>
    </font>
    <font>
      <b/>
      <sz val="12"/>
      <color theme="1"/>
      <name val="Calibri"/>
      <family val="3"/>
      <charset val="128"/>
      <scheme val="minor"/>
    </font>
    <font>
      <b/>
      <sz val="11"/>
      <name val="Calibri"/>
      <family val="3"/>
      <charset val="128"/>
      <scheme val="minor"/>
    </font>
    <font>
      <sz val="10"/>
      <color rgb="FFFF0000"/>
      <name val="Calibri"/>
      <family val="3"/>
      <charset val="128"/>
      <scheme val="minor"/>
    </font>
    <font>
      <sz val="24"/>
      <color theme="1"/>
      <name val="Calibri"/>
      <family val="3"/>
      <charset val="128"/>
      <scheme val="minor"/>
    </font>
    <font>
      <sz val="11"/>
      <name val="Arial"/>
      <family val="2"/>
    </font>
    <font>
      <sz val="6"/>
      <name val="Calibri"/>
      <family val="3"/>
      <charset val="128"/>
      <scheme val="minor"/>
    </font>
    <font>
      <b/>
      <sz val="28"/>
      <color theme="1"/>
      <name val="Calibri"/>
      <family val="3"/>
      <charset val="128"/>
      <scheme val="minor"/>
    </font>
    <font>
      <b/>
      <sz val="10"/>
      <color theme="1"/>
      <name val="Calibri"/>
      <family val="3"/>
      <charset val="128"/>
      <scheme val="minor"/>
    </font>
    <font>
      <sz val="6"/>
      <name val="ＭＳ Ｐゴシック"/>
      <family val="3"/>
      <charset val="128"/>
    </font>
    <font>
      <sz val="11"/>
      <name val="Calibri"/>
      <family val="3"/>
      <charset val="128"/>
      <scheme val="minor"/>
    </font>
    <font>
      <sz val="11"/>
      <name val="Calibri"/>
      <family val="2"/>
      <scheme val="minor"/>
    </font>
    <font>
      <sz val="11"/>
      <name val="Calibri"/>
      <family val="2"/>
      <charset val="128"/>
      <scheme val="minor"/>
    </font>
    <font>
      <sz val="11"/>
      <name val="ＭＳ Ｐゴシック"/>
      <family val="3"/>
      <charset val="128"/>
    </font>
    <font>
      <sz val="12"/>
      <color rgb="FF000000"/>
      <name val="ＭＳ Ｐゴシック"/>
    </font>
    <font>
      <b/>
      <sz val="11"/>
      <color theme="1"/>
      <name val="Calibri"/>
      <family val="2"/>
      <scheme val="minor"/>
    </font>
    <font>
      <b/>
      <sz val="11"/>
      <name val="Calibri"/>
      <family val="2"/>
    </font>
    <font>
      <b/>
      <sz val="9"/>
      <color indexed="81"/>
      <name val="Calibri"/>
      <family val="3"/>
      <charset val="128"/>
    </font>
    <font>
      <b/>
      <sz val="9"/>
      <color indexed="81"/>
      <name val="Calibri"/>
      <family val="2"/>
      <scheme val="minor"/>
    </font>
    <font>
      <sz val="9"/>
      <color indexed="81"/>
      <name val="Calibri"/>
      <family val="3"/>
      <charset val="128"/>
    </font>
  </fonts>
  <fills count="15">
    <fill>
      <patternFill patternType="none"/>
    </fill>
    <fill>
      <patternFill patternType="gray125"/>
    </fill>
    <fill>
      <patternFill patternType="solid">
        <fgColor rgb="FFE7FF99"/>
        <bgColor indexed="64"/>
      </patternFill>
    </fill>
    <fill>
      <patternFill patternType="solid">
        <fgColor theme="9" tint="0.59999389629810485"/>
        <bgColor indexed="64"/>
      </patternFill>
    </fill>
    <fill>
      <patternFill patternType="solid">
        <fgColor theme="0" tint="-4.9989318521683403E-2"/>
        <bgColor indexed="64"/>
      </patternFill>
    </fill>
    <fill>
      <patternFill patternType="solid">
        <fgColor rgb="FFFFFF99"/>
        <bgColor indexed="64"/>
      </patternFill>
    </fill>
    <fill>
      <patternFill patternType="solid">
        <fgColor theme="5" tint="0.39997558519241921"/>
        <bgColor indexed="64"/>
      </patternFill>
    </fill>
    <fill>
      <patternFill patternType="solid">
        <fgColor theme="8"/>
      </patternFill>
    </fill>
    <fill>
      <patternFill patternType="solid">
        <fgColor theme="8" tint="0.79998168889431442"/>
        <bgColor indexed="65"/>
      </patternFill>
    </fill>
    <fill>
      <patternFill patternType="solid">
        <fgColor theme="0" tint="-0.14999847407452621"/>
        <bgColor indexed="64"/>
      </patternFill>
    </fill>
    <fill>
      <patternFill patternType="solid">
        <fgColor theme="6" tint="0.39997558519241921"/>
        <bgColor indexed="64"/>
      </patternFill>
    </fill>
    <fill>
      <patternFill patternType="solid">
        <fgColor theme="2"/>
        <bgColor indexed="64"/>
      </patternFill>
    </fill>
    <fill>
      <patternFill patternType="solid">
        <fgColor theme="4" tint="0.59999389629810485"/>
        <bgColor indexed="64"/>
      </patternFill>
    </fill>
    <fill>
      <patternFill patternType="solid">
        <fgColor theme="8" tint="0.79998168889431442"/>
        <bgColor indexed="64"/>
      </patternFill>
    </fill>
    <fill>
      <patternFill patternType="solid">
        <fgColor rgb="FFFFFFCC"/>
        <bgColor indexed="64"/>
      </patternFill>
    </fill>
  </fills>
  <borders count="104">
    <border>
      <left/>
      <right/>
      <top/>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style="medium">
        <color indexed="64"/>
      </top>
      <bottom/>
      <diagonal/>
    </border>
    <border>
      <left style="thin">
        <color indexed="64"/>
      </left>
      <right style="thin">
        <color indexed="64"/>
      </right>
      <top style="thin">
        <color indexed="64"/>
      </top>
      <bottom style="double">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double">
        <color indexed="64"/>
      </right>
      <top style="thin">
        <color indexed="64"/>
      </top>
      <bottom style="thin">
        <color indexed="64"/>
      </bottom>
      <diagonal/>
    </border>
    <border>
      <left style="medium">
        <color indexed="64"/>
      </left>
      <right style="double">
        <color indexed="64"/>
      </right>
      <top style="thin">
        <color indexed="64"/>
      </top>
      <bottom style="medium">
        <color indexed="64"/>
      </bottom>
      <diagonal/>
    </border>
    <border>
      <left style="thin">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style="thin">
        <color indexed="64"/>
      </top>
      <bottom style="medium">
        <color indexed="64"/>
      </bottom>
      <diagonal/>
    </border>
    <border>
      <left/>
      <right style="thin">
        <color indexed="64"/>
      </right>
      <top style="thin">
        <color indexed="64"/>
      </top>
      <bottom style="double">
        <color indexed="64"/>
      </bottom>
      <diagonal/>
    </border>
    <border>
      <left style="double">
        <color indexed="64"/>
      </left>
      <right style="thin">
        <color indexed="64"/>
      </right>
      <top style="thin">
        <color indexed="64"/>
      </top>
      <bottom style="double">
        <color indexed="64"/>
      </bottom>
      <diagonal/>
    </border>
    <border>
      <left style="medium">
        <color indexed="64"/>
      </left>
      <right style="double">
        <color indexed="64"/>
      </right>
      <top style="medium">
        <color indexed="64"/>
      </top>
      <bottom style="thin">
        <color indexed="64"/>
      </bottom>
      <diagonal/>
    </border>
    <border>
      <left style="medium">
        <color indexed="64"/>
      </left>
      <right style="double">
        <color indexed="64"/>
      </right>
      <top style="thin">
        <color indexed="64"/>
      </top>
      <bottom style="double">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theme="0"/>
      </left>
      <right style="thin">
        <color theme="0"/>
      </right>
      <top style="thin">
        <color theme="0"/>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ck">
        <color rgb="FF92D050"/>
      </top>
      <bottom style="thick">
        <color rgb="FF92D050"/>
      </bottom>
      <diagonal/>
    </border>
    <border>
      <left/>
      <right style="thin">
        <color theme="0"/>
      </right>
      <top style="thin">
        <color theme="0"/>
      </top>
      <bottom style="thin">
        <color theme="0"/>
      </bottom>
      <diagonal/>
    </border>
    <border>
      <left style="thin">
        <color theme="0"/>
      </left>
      <right style="thin">
        <color theme="0"/>
      </right>
      <top/>
      <bottom/>
      <diagonal/>
    </border>
    <border>
      <left style="thin">
        <color theme="0"/>
      </left>
      <right style="thin">
        <color theme="0"/>
      </right>
      <top/>
      <bottom style="thin">
        <color theme="0"/>
      </bottom>
      <diagonal/>
    </border>
    <border>
      <left style="medium">
        <color rgb="FF92D050"/>
      </left>
      <right/>
      <top style="medium">
        <color rgb="FF92D050"/>
      </top>
      <bottom style="medium">
        <color rgb="FF92D050"/>
      </bottom>
      <diagonal/>
    </border>
    <border>
      <left/>
      <right style="medium">
        <color rgb="FF92D050"/>
      </right>
      <top style="medium">
        <color rgb="FF92D050"/>
      </top>
      <bottom style="medium">
        <color rgb="FF92D050"/>
      </bottom>
      <diagonal/>
    </border>
    <border>
      <left/>
      <right style="thin">
        <color theme="0"/>
      </right>
      <top style="thin">
        <color theme="0"/>
      </top>
      <bottom/>
      <diagonal/>
    </border>
    <border>
      <left style="medium">
        <color rgb="FF92D050"/>
      </left>
      <right style="thin">
        <color theme="0"/>
      </right>
      <top style="medium">
        <color rgb="FF92D050"/>
      </top>
      <bottom style="medium">
        <color rgb="FF92D050"/>
      </bottom>
      <diagonal/>
    </border>
    <border>
      <left style="thin">
        <color theme="0"/>
      </left>
      <right style="thin">
        <color theme="0"/>
      </right>
      <top style="medium">
        <color rgb="FF92D050"/>
      </top>
      <bottom style="medium">
        <color rgb="FF92D050"/>
      </bottom>
      <diagonal/>
    </border>
    <border>
      <left style="thin">
        <color theme="0"/>
      </left>
      <right/>
      <top style="medium">
        <color rgb="FF92D050"/>
      </top>
      <bottom style="medium">
        <color rgb="FF92D050"/>
      </bottom>
      <diagonal/>
    </border>
    <border>
      <left style="thin">
        <color theme="0"/>
      </left>
      <right style="medium">
        <color rgb="FF92D050"/>
      </right>
      <top style="medium">
        <color rgb="FF92D050"/>
      </top>
      <bottom style="medium">
        <color rgb="FF92D050"/>
      </bottom>
      <diagonal/>
    </border>
    <border>
      <left/>
      <right/>
      <top style="medium">
        <color rgb="FF92D050"/>
      </top>
      <bottom style="medium">
        <color rgb="FF92D050"/>
      </bottom>
      <diagonal/>
    </border>
    <border>
      <left style="medium">
        <color rgb="FF92D050"/>
      </left>
      <right style="thin">
        <color theme="0"/>
      </right>
      <top style="medium">
        <color rgb="FF92D050"/>
      </top>
      <bottom style="thin">
        <color theme="0"/>
      </bottom>
      <diagonal/>
    </border>
    <border>
      <left style="thin">
        <color theme="0"/>
      </left>
      <right style="thin">
        <color theme="0"/>
      </right>
      <top style="medium">
        <color rgb="FF92D050"/>
      </top>
      <bottom style="thin">
        <color theme="0"/>
      </bottom>
      <diagonal/>
    </border>
    <border>
      <left style="thin">
        <color theme="0"/>
      </left>
      <right/>
      <top style="medium">
        <color rgb="FF92D050"/>
      </top>
      <bottom style="thin">
        <color theme="0"/>
      </bottom>
      <diagonal/>
    </border>
    <border>
      <left style="thin">
        <color theme="0"/>
      </left>
      <right style="medium">
        <color rgb="FF92D050"/>
      </right>
      <top style="medium">
        <color rgb="FF92D050"/>
      </top>
      <bottom style="thin">
        <color theme="0"/>
      </bottom>
      <diagonal/>
    </border>
    <border>
      <left style="medium">
        <color rgb="FF92D050"/>
      </left>
      <right style="thin">
        <color theme="0"/>
      </right>
      <top style="thin">
        <color theme="0"/>
      </top>
      <bottom style="thin">
        <color theme="0"/>
      </bottom>
      <diagonal/>
    </border>
    <border>
      <left style="thin">
        <color theme="0"/>
      </left>
      <right/>
      <top style="thin">
        <color theme="0"/>
      </top>
      <bottom/>
      <diagonal/>
    </border>
    <border>
      <left style="thin">
        <color theme="0"/>
      </left>
      <right style="medium">
        <color rgb="FF92D050"/>
      </right>
      <top style="thin">
        <color theme="0"/>
      </top>
      <bottom style="thin">
        <color theme="0"/>
      </bottom>
      <diagonal/>
    </border>
    <border>
      <left style="medium">
        <color rgb="FF92D050"/>
      </left>
      <right/>
      <top style="thin">
        <color theme="0"/>
      </top>
      <bottom style="thin">
        <color theme="0"/>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medium">
        <color rgb="FF92D050"/>
      </right>
      <top style="thin">
        <color theme="0"/>
      </top>
      <bottom style="thin">
        <color theme="0"/>
      </bottom>
      <diagonal/>
    </border>
    <border>
      <left style="medium">
        <color rgb="FF92D050"/>
      </left>
      <right style="thin">
        <color theme="0"/>
      </right>
      <top style="thin">
        <color theme="0"/>
      </top>
      <bottom style="medium">
        <color rgb="FF92D050"/>
      </bottom>
      <diagonal/>
    </border>
    <border>
      <left style="thin">
        <color theme="0"/>
      </left>
      <right style="thin">
        <color theme="0"/>
      </right>
      <top/>
      <bottom style="medium">
        <color rgb="FF92D050"/>
      </bottom>
      <diagonal/>
    </border>
    <border>
      <left style="thin">
        <color theme="0"/>
      </left>
      <right/>
      <top/>
      <bottom style="medium">
        <color rgb="FF92D050"/>
      </bottom>
      <diagonal/>
    </border>
    <border>
      <left style="thin">
        <color theme="0"/>
      </left>
      <right style="medium">
        <color rgb="FF92D050"/>
      </right>
      <top style="thin">
        <color theme="0"/>
      </top>
      <bottom style="medium">
        <color rgb="FF92D050"/>
      </bottom>
      <diagonal/>
    </border>
    <border>
      <left style="medium">
        <color rgb="FF92D050"/>
      </left>
      <right style="medium">
        <color rgb="FF92D050"/>
      </right>
      <top style="medium">
        <color rgb="FF92D050"/>
      </top>
      <bottom style="medium">
        <color rgb="FF92D050"/>
      </bottom>
      <diagonal/>
    </border>
    <border>
      <left style="medium">
        <color rgb="FF92D050"/>
      </left>
      <right style="medium">
        <color rgb="FF92D050"/>
      </right>
      <top/>
      <bottom style="medium">
        <color rgb="FF92D05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double">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style="thin">
        <color indexed="64"/>
      </top>
      <bottom style="double">
        <color indexed="64"/>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rgb="FF92D050"/>
      </left>
      <right/>
      <top style="thin">
        <color theme="0"/>
      </top>
      <bottom/>
      <diagonal/>
    </border>
    <border>
      <left/>
      <right style="medium">
        <color rgb="FF92D050"/>
      </right>
      <top style="thin">
        <color theme="0"/>
      </top>
      <bottom/>
      <diagonal/>
    </border>
    <border>
      <left/>
      <right/>
      <top style="thin">
        <color theme="1" tint="0.499984740745262"/>
      </top>
      <bottom/>
      <diagonal/>
    </border>
    <border>
      <left style="medium">
        <color rgb="FF92D050"/>
      </left>
      <right/>
      <top/>
      <bottom/>
      <diagonal/>
    </border>
    <border>
      <left/>
      <right style="medium">
        <color rgb="FF92D050"/>
      </right>
      <top/>
      <bottom/>
      <diagonal/>
    </border>
    <border>
      <left style="medium">
        <color indexed="64"/>
      </left>
      <right/>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ck">
        <color rgb="FF92D050"/>
      </left>
      <right style="thick">
        <color rgb="FF92D050"/>
      </right>
      <top style="thick">
        <color rgb="FF92D050"/>
      </top>
      <bottom style="thick">
        <color rgb="FF92D050"/>
      </bottom>
      <diagonal/>
    </border>
    <border>
      <left style="thick">
        <color rgb="FF92D050"/>
      </left>
      <right/>
      <top style="thick">
        <color rgb="FF92D050"/>
      </top>
      <bottom style="thick">
        <color rgb="FF92D050"/>
      </bottom>
      <diagonal/>
    </border>
    <border>
      <left/>
      <right style="thick">
        <color rgb="FF92D050"/>
      </right>
      <top style="thick">
        <color rgb="FF92D050"/>
      </top>
      <bottom style="thick">
        <color rgb="FF92D050"/>
      </bottom>
      <diagonal/>
    </border>
    <border>
      <left style="thick">
        <color rgb="FF92D050"/>
      </left>
      <right style="thin">
        <color indexed="64"/>
      </right>
      <top style="thick">
        <color rgb="FF92D050"/>
      </top>
      <bottom style="thick">
        <color rgb="FF92D050"/>
      </bottom>
      <diagonal/>
    </border>
    <border>
      <left style="thin">
        <color indexed="64"/>
      </left>
      <right style="thin">
        <color indexed="64"/>
      </right>
      <top style="thick">
        <color rgb="FF92D050"/>
      </top>
      <bottom style="thick">
        <color rgb="FF92D050"/>
      </bottom>
      <diagonal/>
    </border>
    <border>
      <left style="thin">
        <color indexed="64"/>
      </left>
      <right style="thick">
        <color rgb="FF92D050"/>
      </right>
      <top style="thick">
        <color rgb="FF92D050"/>
      </top>
      <bottom style="thick">
        <color rgb="FF92D050"/>
      </bottom>
      <diagonal/>
    </border>
    <border>
      <left style="thin">
        <color indexed="64"/>
      </left>
      <right style="double">
        <color indexed="64"/>
      </right>
      <top style="thin">
        <color indexed="64"/>
      </top>
      <bottom style="double">
        <color indexed="64"/>
      </bottom>
      <diagonal/>
    </border>
    <border>
      <left/>
      <right/>
      <top style="thin">
        <color indexed="64"/>
      </top>
      <bottom style="double">
        <color indexed="64"/>
      </bottom>
      <diagonal/>
    </border>
    <border>
      <left/>
      <right style="double">
        <color indexed="64"/>
      </right>
      <top style="medium">
        <color indexed="64"/>
      </top>
      <bottom style="thin">
        <color indexed="64"/>
      </bottom>
      <diagonal/>
    </border>
    <border>
      <left style="double">
        <color indexed="64"/>
      </left>
      <right style="thin">
        <color indexed="64"/>
      </right>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medium">
        <color indexed="64"/>
      </left>
      <right style="double">
        <color indexed="64"/>
      </right>
      <top/>
      <bottom style="thin">
        <color indexed="64"/>
      </bottom>
      <diagonal/>
    </border>
    <border>
      <left style="thin">
        <color indexed="64"/>
      </left>
      <right/>
      <top style="thin">
        <color indexed="64"/>
      </top>
      <bottom/>
      <diagonal/>
    </border>
    <border>
      <left style="thin">
        <color indexed="64"/>
      </left>
      <right style="thin">
        <color indexed="64"/>
      </right>
      <top style="double">
        <color indexed="64"/>
      </top>
      <bottom style="thin">
        <color indexed="64"/>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right style="medium">
        <color indexed="64"/>
      </right>
      <top style="medium">
        <color indexed="64"/>
      </top>
      <bottom style="double">
        <color indexed="64"/>
      </bottom>
      <diagonal/>
    </border>
    <border>
      <left style="double">
        <color indexed="64"/>
      </left>
      <right style="double">
        <color indexed="64"/>
      </right>
      <top style="medium">
        <color indexed="64"/>
      </top>
      <bottom style="thin">
        <color indexed="64"/>
      </bottom>
      <diagonal/>
    </border>
  </borders>
  <cellStyleXfs count="9">
    <xf numFmtId="0" fontId="0" fillId="0" borderId="0">
      <alignment vertical="center"/>
    </xf>
    <xf numFmtId="0" fontId="8" fillId="0" borderId="0"/>
    <xf numFmtId="0" fontId="10" fillId="7" borderId="0" applyNumberFormat="0" applyBorder="0" applyAlignment="0" applyProtection="0">
      <alignment vertical="center"/>
    </xf>
    <xf numFmtId="0" fontId="1" fillId="8" borderId="0" applyNumberFormat="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28" fillId="0" borderId="0">
      <alignment vertical="center"/>
    </xf>
  </cellStyleXfs>
  <cellXfs count="279">
    <xf numFmtId="0" fontId="0" fillId="0" borderId="0" xfId="0">
      <alignment vertical="center"/>
    </xf>
    <xf numFmtId="0" fontId="0" fillId="0" borderId="0" xfId="0" applyAlignment="1">
      <alignment vertical="center" wrapText="1"/>
    </xf>
    <xf numFmtId="0" fontId="0" fillId="0" borderId="0" xfId="0" applyAlignment="1">
      <alignment horizontal="left" vertical="center" wrapText="1"/>
    </xf>
    <xf numFmtId="0" fontId="3" fillId="0" borderId="0" xfId="0" applyFont="1" applyAlignment="1">
      <alignment vertical="center" wrapText="1"/>
    </xf>
    <xf numFmtId="0" fontId="0" fillId="0" borderId="0" xfId="0" applyAlignment="1">
      <alignment horizontal="center" vertical="center" wrapText="1"/>
    </xf>
    <xf numFmtId="49" fontId="5" fillId="5" borderId="4" xfId="0" quotePrefix="1" applyNumberFormat="1" applyFont="1" applyFill="1" applyBorder="1" applyAlignment="1">
      <alignment vertical="center" wrapText="1"/>
    </xf>
    <xf numFmtId="49" fontId="0" fillId="5" borderId="5" xfId="0" quotePrefix="1" applyNumberFormat="1" applyFill="1" applyBorder="1" applyAlignment="1">
      <alignment horizontal="center" vertical="center" wrapText="1"/>
    </xf>
    <xf numFmtId="49" fontId="0" fillId="5" borderId="4" xfId="0" quotePrefix="1" applyNumberFormat="1" applyFill="1" applyBorder="1" applyAlignment="1">
      <alignment vertical="center" wrapText="1"/>
    </xf>
    <xf numFmtId="49" fontId="5" fillId="0" borderId="5" xfId="0" quotePrefix="1" applyNumberFormat="1" applyFont="1" applyBorder="1" applyAlignment="1">
      <alignment vertical="center" wrapText="1"/>
    </xf>
    <xf numFmtId="49" fontId="0" fillId="0" borderId="5" xfId="0" quotePrefix="1" applyNumberFormat="1" applyBorder="1" applyAlignment="1">
      <alignment horizontal="center" vertical="center" wrapText="1"/>
    </xf>
    <xf numFmtId="49" fontId="5" fillId="0" borderId="8" xfId="0" quotePrefix="1" applyNumberFormat="1" applyFont="1" applyBorder="1" applyAlignment="1">
      <alignment vertical="center" wrapText="1"/>
    </xf>
    <xf numFmtId="49" fontId="0" fillId="0" borderId="8" xfId="0" quotePrefix="1" applyNumberFormat="1" applyBorder="1" applyAlignment="1">
      <alignment horizontal="center" vertical="center" wrapText="1"/>
    </xf>
    <xf numFmtId="49" fontId="0" fillId="0" borderId="8" xfId="0" quotePrefix="1" applyNumberFormat="1" applyBorder="1" applyAlignment="1">
      <alignment vertical="center" wrapText="1"/>
    </xf>
    <xf numFmtId="49" fontId="5" fillId="0" borderId="8" xfId="0" applyNumberFormat="1" applyFont="1" applyBorder="1" applyAlignment="1">
      <alignment vertical="center" wrapText="1"/>
    </xf>
    <xf numFmtId="49" fontId="0" fillId="0" borderId="8" xfId="0" applyNumberFormat="1" applyBorder="1" applyAlignment="1">
      <alignment vertical="center" wrapText="1"/>
    </xf>
    <xf numFmtId="0" fontId="0" fillId="0" borderId="0" xfId="0" applyAlignment="1">
      <alignment horizontal="left" vertical="center"/>
    </xf>
    <xf numFmtId="0" fontId="5" fillId="0" borderId="0" xfId="0" applyFont="1">
      <alignment vertical="center"/>
    </xf>
    <xf numFmtId="0" fontId="0" fillId="0" borderId="0" xfId="0" applyAlignment="1">
      <alignment horizontal="center" vertical="center"/>
    </xf>
    <xf numFmtId="49" fontId="0" fillId="9" borderId="4" xfId="0" applyNumberFormat="1" applyFill="1" applyBorder="1" applyAlignment="1">
      <alignment horizontal="left" vertical="center" wrapText="1"/>
    </xf>
    <xf numFmtId="49" fontId="0" fillId="9" borderId="4" xfId="0" applyNumberFormat="1" applyFill="1" applyBorder="1" applyAlignment="1">
      <alignment horizontal="left" vertical="center" shrinkToFit="1"/>
    </xf>
    <xf numFmtId="0" fontId="5" fillId="11" borderId="1" xfId="0" applyFont="1" applyFill="1" applyBorder="1" applyAlignment="1">
      <alignment horizontal="center" vertical="center" wrapText="1"/>
    </xf>
    <xf numFmtId="0" fontId="0" fillId="0" borderId="29" xfId="0" applyBorder="1" applyAlignment="1">
      <alignment vertical="center" wrapText="1"/>
    </xf>
    <xf numFmtId="49" fontId="1" fillId="0" borderId="8" xfId="3" quotePrefix="1" applyNumberFormat="1" applyFill="1" applyBorder="1" applyAlignment="1">
      <alignment vertical="center" wrapText="1"/>
    </xf>
    <xf numFmtId="49" fontId="5" fillId="0" borderId="8" xfId="0" quotePrefix="1" applyNumberFormat="1" applyFont="1" applyFill="1" applyBorder="1" applyAlignment="1">
      <alignment vertical="center" wrapText="1"/>
    </xf>
    <xf numFmtId="0" fontId="4" fillId="0" borderId="0" xfId="0" applyFont="1" applyFill="1" applyBorder="1" applyAlignment="1">
      <alignment vertical="center"/>
    </xf>
    <xf numFmtId="0" fontId="0" fillId="0" borderId="31" xfId="0" applyBorder="1">
      <alignment vertical="center"/>
    </xf>
    <xf numFmtId="0" fontId="0" fillId="0" borderId="32" xfId="0" applyBorder="1">
      <alignment vertical="center"/>
    </xf>
    <xf numFmtId="0" fontId="0" fillId="0" borderId="33" xfId="0" applyBorder="1">
      <alignment vertical="center"/>
    </xf>
    <xf numFmtId="0" fontId="0" fillId="0" borderId="35" xfId="0" applyBorder="1" applyAlignment="1">
      <alignment horizontal="center" wrapText="1"/>
    </xf>
    <xf numFmtId="0" fontId="0" fillId="0" borderId="36" xfId="0" applyBorder="1">
      <alignment vertical="center"/>
    </xf>
    <xf numFmtId="0" fontId="0" fillId="0" borderId="37" xfId="0" applyBorder="1">
      <alignment vertical="center"/>
    </xf>
    <xf numFmtId="0" fontId="0" fillId="0" borderId="40" xfId="0" applyBorder="1">
      <alignment vertical="center"/>
    </xf>
    <xf numFmtId="0" fontId="0" fillId="0" borderId="33" xfId="0" applyBorder="1" applyAlignment="1">
      <alignment vertical="center" wrapText="1"/>
    </xf>
    <xf numFmtId="0" fontId="0" fillId="0" borderId="35" xfId="0" applyBorder="1" applyAlignment="1">
      <alignment vertical="center" wrapText="1"/>
    </xf>
    <xf numFmtId="0" fontId="0" fillId="0" borderId="32" xfId="0" applyBorder="1" applyAlignment="1">
      <alignment vertical="center" wrapText="1"/>
    </xf>
    <xf numFmtId="0" fontId="0" fillId="0" borderId="36" xfId="0" applyBorder="1" applyAlignment="1">
      <alignment vertical="center" wrapText="1"/>
    </xf>
    <xf numFmtId="0" fontId="0" fillId="0" borderId="37" xfId="0" applyBorder="1" applyAlignment="1">
      <alignment vertical="center" wrapText="1"/>
    </xf>
    <xf numFmtId="0" fontId="0" fillId="0" borderId="31" xfId="0" applyBorder="1" applyAlignment="1">
      <alignment vertical="center" wrapText="1"/>
    </xf>
    <xf numFmtId="0" fontId="0" fillId="0" borderId="35" xfId="0" applyBorder="1">
      <alignment vertical="center"/>
    </xf>
    <xf numFmtId="0" fontId="0" fillId="0" borderId="40" xfId="0" applyBorder="1" applyAlignment="1">
      <alignment vertical="center" wrapText="1"/>
    </xf>
    <xf numFmtId="0" fontId="0" fillId="0" borderId="50" xfId="0" applyBorder="1" applyAlignment="1">
      <alignment vertical="center" wrapText="1"/>
    </xf>
    <xf numFmtId="0" fontId="0" fillId="0" borderId="51" xfId="0" applyBorder="1" applyAlignment="1">
      <alignment vertical="center" wrapText="1"/>
    </xf>
    <xf numFmtId="0" fontId="0" fillId="0" borderId="52" xfId="0" applyBorder="1" applyAlignment="1">
      <alignment vertical="center" wrapText="1"/>
    </xf>
    <xf numFmtId="0" fontId="0" fillId="0" borderId="53" xfId="0" applyBorder="1">
      <alignment vertical="center"/>
    </xf>
    <xf numFmtId="0" fontId="0" fillId="0" borderId="55" xfId="0" applyBorder="1">
      <alignment vertical="center"/>
    </xf>
    <xf numFmtId="0" fontId="0" fillId="0" borderId="56" xfId="0" applyBorder="1">
      <alignment vertical="center"/>
    </xf>
    <xf numFmtId="0" fontId="0" fillId="0" borderId="57" xfId="0" applyBorder="1" applyAlignment="1">
      <alignment horizontal="left" vertical="center"/>
    </xf>
    <xf numFmtId="0" fontId="0" fillId="0" borderId="58" xfId="0" applyBorder="1" applyAlignment="1">
      <alignment horizontal="left" vertical="center"/>
    </xf>
    <xf numFmtId="0" fontId="0" fillId="0" borderId="59" xfId="0" applyBorder="1">
      <alignment vertical="center"/>
    </xf>
    <xf numFmtId="0" fontId="0" fillId="0" borderId="50" xfId="0" applyBorder="1">
      <alignment vertical="center"/>
    </xf>
    <xf numFmtId="0" fontId="0" fillId="0" borderId="51" xfId="0" applyBorder="1">
      <alignment vertical="center"/>
    </xf>
    <xf numFmtId="0" fontId="0" fillId="0" borderId="52" xfId="0" applyBorder="1">
      <alignment vertical="center"/>
    </xf>
    <xf numFmtId="0" fontId="15" fillId="4" borderId="54" xfId="0" applyFont="1" applyFill="1" applyBorder="1" applyAlignment="1">
      <alignment horizontal="center" vertical="center" wrapText="1"/>
    </xf>
    <xf numFmtId="0" fontId="0" fillId="0" borderId="57" xfId="0" applyBorder="1">
      <alignment vertical="center"/>
    </xf>
    <xf numFmtId="0" fontId="0" fillId="0" borderId="58" xfId="0" applyBorder="1">
      <alignment vertical="center"/>
    </xf>
    <xf numFmtId="0" fontId="0" fillId="2" borderId="60" xfId="0" applyFill="1" applyBorder="1">
      <alignment vertical="center"/>
    </xf>
    <xf numFmtId="0" fontId="0" fillId="0" borderId="61" xfId="0" applyBorder="1" applyProtection="1">
      <alignment vertical="center"/>
      <protection locked="0"/>
    </xf>
    <xf numFmtId="0" fontId="5" fillId="3" borderId="9" xfId="0" applyFont="1" applyFill="1" applyBorder="1" applyAlignment="1">
      <alignment horizontal="center" vertical="center" wrapText="1"/>
    </xf>
    <xf numFmtId="0" fontId="16" fillId="12" borderId="7" xfId="0" applyFont="1" applyFill="1" applyBorder="1" applyAlignment="1">
      <alignment horizontal="center" vertical="center" wrapText="1"/>
    </xf>
    <xf numFmtId="0" fontId="3" fillId="13" borderId="1" xfId="0" applyFont="1" applyFill="1" applyBorder="1" applyAlignment="1">
      <alignment horizontal="center" vertical="center" wrapText="1"/>
    </xf>
    <xf numFmtId="0" fontId="5" fillId="13" borderId="2" xfId="0" applyFont="1" applyFill="1" applyBorder="1" applyAlignment="1">
      <alignment horizontal="center" vertical="center" wrapText="1"/>
    </xf>
    <xf numFmtId="0" fontId="5" fillId="13" borderId="1" xfId="0" applyFont="1" applyFill="1" applyBorder="1" applyAlignment="1">
      <alignment horizontal="center" vertical="center" wrapText="1"/>
    </xf>
    <xf numFmtId="0" fontId="5" fillId="13" borderId="3" xfId="0" applyFont="1" applyFill="1" applyBorder="1" applyAlignment="1">
      <alignment horizontal="center" vertical="center" wrapText="1"/>
    </xf>
    <xf numFmtId="0" fontId="16" fillId="12" borderId="64" xfId="0" applyFont="1" applyFill="1" applyBorder="1" applyAlignment="1">
      <alignment horizontal="center" vertical="center" wrapText="1"/>
    </xf>
    <xf numFmtId="0" fontId="16"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0" fillId="0" borderId="0" xfId="0" applyFill="1" applyBorder="1" applyAlignment="1">
      <alignment vertical="center" wrapText="1"/>
    </xf>
    <xf numFmtId="0" fontId="0" fillId="0" borderId="7" xfId="0" applyBorder="1" applyAlignment="1">
      <alignment horizontal="center" vertical="center" wrapText="1"/>
    </xf>
    <xf numFmtId="0" fontId="0" fillId="0" borderId="0" xfId="0" applyBorder="1" applyAlignment="1">
      <alignment vertical="center" wrapText="1"/>
    </xf>
    <xf numFmtId="0" fontId="0" fillId="0" borderId="0" xfId="0" applyBorder="1">
      <alignment vertical="center"/>
    </xf>
    <xf numFmtId="49" fontId="12" fillId="5" borderId="11" xfId="0" applyNumberFormat="1" applyFont="1" applyFill="1" applyBorder="1" applyAlignment="1">
      <alignment horizontal="left" vertical="center" wrapText="1"/>
    </xf>
    <xf numFmtId="49" fontId="0" fillId="0" borderId="6" xfId="0" quotePrefix="1" applyNumberFormat="1" applyBorder="1" applyAlignment="1">
      <alignment vertical="center" wrapText="1"/>
    </xf>
    <xf numFmtId="0" fontId="12" fillId="9" borderId="13" xfId="0" applyNumberFormat="1" applyFont="1" applyFill="1" applyBorder="1" applyAlignment="1">
      <alignment horizontal="left" vertical="center" wrapText="1"/>
    </xf>
    <xf numFmtId="0" fontId="0" fillId="0" borderId="0" xfId="0">
      <alignment vertical="center"/>
    </xf>
    <xf numFmtId="0" fontId="0" fillId="0" borderId="0" xfId="0" applyAlignment="1">
      <alignment vertical="center" wrapText="1"/>
    </xf>
    <xf numFmtId="49" fontId="0" fillId="0" borderId="8" xfId="0" applyNumberFormat="1" applyBorder="1" applyAlignment="1">
      <alignment horizontal="left" vertical="center" shrinkToFit="1"/>
    </xf>
    <xf numFmtId="0" fontId="0" fillId="0" borderId="13" xfId="0" applyNumberFormat="1" applyBorder="1" applyAlignment="1">
      <alignment horizontal="left" vertical="center" wrapText="1"/>
    </xf>
    <xf numFmtId="0" fontId="12" fillId="0" borderId="8" xfId="0" applyNumberFormat="1" applyFont="1" applyBorder="1" applyAlignment="1">
      <alignment horizontal="left" vertical="center" wrapText="1"/>
    </xf>
    <xf numFmtId="49" fontId="0" fillId="5" borderId="4" xfId="0" applyNumberFormat="1" applyFill="1" applyBorder="1" applyAlignment="1">
      <alignment horizontal="left" vertical="center" wrapText="1"/>
    </xf>
    <xf numFmtId="0" fontId="0" fillId="9" borderId="4" xfId="0" applyNumberFormat="1" applyFill="1" applyBorder="1" applyAlignment="1">
      <alignment horizontal="left" vertical="center" wrapText="1"/>
    </xf>
    <xf numFmtId="0" fontId="0" fillId="0" borderId="8" xfId="0" applyNumberFormat="1" applyBorder="1" applyAlignment="1">
      <alignment horizontal="left" vertical="center" wrapText="1"/>
    </xf>
    <xf numFmtId="0" fontId="6" fillId="5" borderId="62" xfId="0" applyFont="1" applyFill="1" applyBorder="1" applyAlignment="1">
      <alignment vertical="center" wrapText="1"/>
    </xf>
    <xf numFmtId="0" fontId="0" fillId="0" borderId="62" xfId="0" applyBorder="1" applyAlignment="1">
      <alignment vertical="center" wrapText="1"/>
    </xf>
    <xf numFmtId="0" fontId="0" fillId="0" borderId="62" xfId="0" applyBorder="1">
      <alignment vertical="center"/>
    </xf>
    <xf numFmtId="0" fontId="5" fillId="3" borderId="72" xfId="0" applyFont="1" applyFill="1" applyBorder="1" applyAlignment="1">
      <alignment horizontal="center" vertical="center" wrapText="1"/>
    </xf>
    <xf numFmtId="0" fontId="0" fillId="0" borderId="67" xfId="0" applyNumberFormat="1" applyBorder="1" applyAlignment="1">
      <alignment horizontal="left" vertical="center" wrapText="1"/>
    </xf>
    <xf numFmtId="0" fontId="17" fillId="0" borderId="62" xfId="0" applyFont="1" applyFill="1" applyBorder="1" applyAlignment="1">
      <alignment vertical="center" wrapText="1"/>
    </xf>
    <xf numFmtId="0" fontId="17" fillId="14" borderId="62" xfId="0" applyFont="1" applyFill="1" applyBorder="1" applyAlignment="1">
      <alignment vertical="center" wrapText="1"/>
    </xf>
    <xf numFmtId="49" fontId="0" fillId="9" borderId="63" xfId="0" applyNumberFormat="1" applyFill="1" applyBorder="1" applyAlignment="1">
      <alignment vertical="center" wrapText="1"/>
    </xf>
    <xf numFmtId="0" fontId="0" fillId="9" borderId="13" xfId="0" applyNumberFormat="1" applyFill="1" applyBorder="1" applyAlignment="1">
      <alignment vertical="center" wrapText="1"/>
    </xf>
    <xf numFmtId="0" fontId="0" fillId="3" borderId="65" xfId="0" applyFill="1" applyBorder="1" applyAlignment="1">
      <alignment vertical="center" wrapText="1"/>
    </xf>
    <xf numFmtId="0" fontId="0" fillId="0" borderId="0" xfId="0" applyFill="1">
      <alignment vertical="center"/>
    </xf>
    <xf numFmtId="0" fontId="0" fillId="0" borderId="0" xfId="0" applyFill="1" applyAlignment="1">
      <alignment horizontal="left" vertical="center"/>
    </xf>
    <xf numFmtId="0" fontId="5" fillId="11" borderId="9" xfId="0" applyFont="1" applyFill="1" applyBorder="1" applyAlignment="1">
      <alignment horizontal="center" vertical="center" wrapText="1"/>
    </xf>
    <xf numFmtId="0" fontId="0" fillId="0" borderId="74" xfId="0" applyBorder="1">
      <alignment vertical="center"/>
    </xf>
    <xf numFmtId="0" fontId="0" fillId="0" borderId="75" xfId="0" applyBorder="1">
      <alignment vertical="center"/>
    </xf>
    <xf numFmtId="0" fontId="0" fillId="0" borderId="79" xfId="0" applyBorder="1" applyAlignment="1">
      <alignment horizontal="left" vertical="center" wrapText="1"/>
    </xf>
    <xf numFmtId="0" fontId="0" fillId="0" borderId="0" xfId="0" applyBorder="1" applyAlignment="1">
      <alignment horizontal="left" vertical="center" wrapText="1"/>
    </xf>
    <xf numFmtId="0" fontId="0" fillId="0" borderId="80" xfId="0" applyBorder="1" applyAlignment="1">
      <alignment vertical="center" wrapText="1"/>
    </xf>
    <xf numFmtId="0" fontId="3" fillId="0" borderId="0" xfId="0" applyFont="1" applyFill="1" applyBorder="1" applyAlignment="1">
      <alignment vertical="center" wrapText="1"/>
    </xf>
    <xf numFmtId="0" fontId="0" fillId="0" borderId="7" xfId="0" applyBorder="1" applyAlignment="1">
      <alignment vertical="center" wrapText="1"/>
    </xf>
    <xf numFmtId="0" fontId="0" fillId="9" borderId="7" xfId="0" applyFill="1" applyBorder="1" applyAlignment="1">
      <alignment vertical="center" wrapText="1"/>
    </xf>
    <xf numFmtId="0" fontId="0" fillId="0" borderId="0" xfId="0" applyBorder="1" applyAlignment="1">
      <alignment horizontal="left" vertical="top" wrapText="1"/>
    </xf>
    <xf numFmtId="0" fontId="4" fillId="2" borderId="84" xfId="0" applyFont="1" applyFill="1" applyBorder="1" applyAlignment="1">
      <alignment horizontal="center" vertical="center"/>
    </xf>
    <xf numFmtId="49" fontId="0" fillId="5" borderId="11" xfId="0" applyNumberFormat="1" applyFill="1" applyBorder="1" applyAlignment="1">
      <alignment horizontal="left" vertical="center" wrapText="1"/>
    </xf>
    <xf numFmtId="49" fontId="12" fillId="5" borderId="30" xfId="0" applyNumberFormat="1" applyFont="1" applyFill="1" applyBorder="1" applyAlignment="1">
      <alignment horizontal="left" vertical="center" wrapText="1"/>
    </xf>
    <xf numFmtId="49" fontId="0" fillId="5" borderId="3" xfId="0" quotePrefix="1" applyNumberFormat="1" applyFill="1" applyBorder="1" applyAlignment="1">
      <alignment vertical="center" wrapText="1"/>
    </xf>
    <xf numFmtId="49" fontId="0" fillId="0" borderId="14" xfId="0" quotePrefix="1" applyNumberFormat="1" applyFill="1" applyBorder="1" applyAlignment="1">
      <alignment vertical="center" wrapText="1"/>
    </xf>
    <xf numFmtId="49" fontId="0" fillId="0" borderId="19" xfId="0" quotePrefix="1" applyNumberFormat="1" applyBorder="1" applyAlignment="1">
      <alignment vertical="center" wrapText="1"/>
    </xf>
    <xf numFmtId="49" fontId="0" fillId="0" borderId="14" xfId="0" quotePrefix="1" applyNumberFormat="1" applyBorder="1" applyAlignment="1">
      <alignment vertical="center" wrapText="1"/>
    </xf>
    <xf numFmtId="0" fontId="10" fillId="0" borderId="0" xfId="2" applyFill="1" applyBorder="1">
      <alignment vertical="center"/>
    </xf>
    <xf numFmtId="0" fontId="0" fillId="0" borderId="15" xfId="0" applyNumberFormat="1" applyBorder="1" applyAlignment="1">
      <alignment horizontal="left" vertical="center" wrapText="1"/>
    </xf>
    <xf numFmtId="0" fontId="0" fillId="0" borderId="18" xfId="0" applyNumberFormat="1" applyBorder="1" applyAlignment="1">
      <alignment horizontal="left" vertical="center" wrapText="1"/>
    </xf>
    <xf numFmtId="0" fontId="12" fillId="9" borderId="18" xfId="0" applyNumberFormat="1" applyFont="1" applyFill="1" applyBorder="1" applyAlignment="1">
      <alignment horizontal="left" vertical="center" wrapText="1"/>
    </xf>
    <xf numFmtId="0" fontId="12" fillId="0" borderId="17" xfId="0" applyNumberFormat="1" applyFont="1" applyBorder="1" applyAlignment="1">
      <alignment horizontal="left" vertical="center" wrapText="1"/>
    </xf>
    <xf numFmtId="49" fontId="0" fillId="0" borderId="17" xfId="0" applyNumberFormat="1" applyBorder="1" applyAlignment="1">
      <alignment horizontal="left" vertical="center" shrinkToFit="1"/>
    </xf>
    <xf numFmtId="0" fontId="0" fillId="0" borderId="17" xfId="0" applyNumberFormat="1" applyBorder="1" applyAlignment="1">
      <alignment horizontal="left" vertical="center" wrapText="1"/>
    </xf>
    <xf numFmtId="49" fontId="5" fillId="0" borderId="17" xfId="0" applyNumberFormat="1" applyFont="1" applyBorder="1" applyAlignment="1">
      <alignment vertical="center" wrapText="1"/>
    </xf>
    <xf numFmtId="49" fontId="0" fillId="0" borderId="17" xfId="0" quotePrefix="1" applyNumberFormat="1" applyBorder="1" applyAlignment="1">
      <alignment horizontal="center" vertical="center" wrapText="1"/>
    </xf>
    <xf numFmtId="49" fontId="0" fillId="0" borderId="17" xfId="0" applyNumberFormat="1" applyBorder="1" applyAlignment="1">
      <alignment vertical="center" wrapText="1"/>
    </xf>
    <xf numFmtId="49" fontId="0" fillId="0" borderId="16" xfId="0" quotePrefix="1" applyNumberFormat="1" applyBorder="1" applyAlignment="1">
      <alignment vertical="center" wrapText="1"/>
    </xf>
    <xf numFmtId="0" fontId="15" fillId="13" borderId="54" xfId="0" applyFont="1" applyFill="1" applyBorder="1" applyAlignment="1">
      <alignment horizontal="center" vertical="center" wrapText="1"/>
    </xf>
    <xf numFmtId="0" fontId="0" fillId="0" borderId="0" xfId="0">
      <alignment vertical="center"/>
    </xf>
    <xf numFmtId="0" fontId="9" fillId="5" borderId="98" xfId="0" applyFont="1" applyFill="1" applyBorder="1" applyAlignment="1">
      <alignment horizontal="center" vertical="center" wrapText="1"/>
    </xf>
    <xf numFmtId="0" fontId="0" fillId="0" borderId="99" xfId="0" applyBorder="1">
      <alignment vertical="center"/>
    </xf>
    <xf numFmtId="0" fontId="22" fillId="0" borderId="0" xfId="0" applyFont="1" applyFill="1" applyBorder="1" applyAlignment="1">
      <alignment vertical="center"/>
    </xf>
    <xf numFmtId="0" fontId="0" fillId="0" borderId="0" xfId="0" applyFill="1" applyBorder="1">
      <alignment vertical="center"/>
    </xf>
    <xf numFmtId="0" fontId="0" fillId="0" borderId="0" xfId="0" applyFill="1" applyBorder="1" applyAlignment="1">
      <alignment horizontal="left" vertical="center"/>
    </xf>
    <xf numFmtId="0" fontId="9" fillId="6" borderId="100" xfId="0" applyFont="1" applyFill="1" applyBorder="1" applyAlignment="1">
      <alignment horizontal="center" vertical="center"/>
    </xf>
    <xf numFmtId="0" fontId="9" fillId="6" borderId="101" xfId="0" applyFont="1" applyFill="1" applyBorder="1" applyAlignment="1">
      <alignment horizontal="center" vertical="center"/>
    </xf>
    <xf numFmtId="0" fontId="9" fillId="6" borderId="102" xfId="0" applyFont="1" applyFill="1" applyBorder="1" applyAlignment="1">
      <alignment horizontal="center" vertical="center"/>
    </xf>
    <xf numFmtId="0" fontId="5" fillId="3" borderId="2" xfId="0" applyFont="1" applyFill="1" applyBorder="1" applyAlignment="1">
      <alignment horizontal="center" vertical="center" wrapText="1"/>
    </xf>
    <xf numFmtId="0" fontId="0" fillId="5" borderId="4" xfId="0" applyNumberFormat="1" applyFill="1" applyBorder="1" applyAlignment="1">
      <alignment horizontal="left" vertical="center" wrapText="1"/>
    </xf>
    <xf numFmtId="0" fontId="0" fillId="0" borderId="8" xfId="0" applyBorder="1" applyAlignment="1">
      <alignment vertical="center" wrapText="1"/>
    </xf>
    <xf numFmtId="0" fontId="9" fillId="6" borderId="27" xfId="0" applyFont="1" applyFill="1" applyBorder="1" applyAlignment="1">
      <alignment horizontal="center" vertical="center" wrapText="1"/>
    </xf>
    <xf numFmtId="0" fontId="9" fillId="6" borderId="28" xfId="0" applyFont="1" applyFill="1" applyBorder="1" applyAlignment="1">
      <alignment horizontal="center" vertical="center" wrapText="1"/>
    </xf>
    <xf numFmtId="0" fontId="9" fillId="6" borderId="10" xfId="0" applyFont="1" applyFill="1" applyBorder="1" applyAlignment="1">
      <alignment horizontal="center" vertical="center" wrapText="1"/>
    </xf>
    <xf numFmtId="0" fontId="9" fillId="10" borderId="10" xfId="1" applyFont="1" applyFill="1" applyBorder="1" applyAlignment="1">
      <alignment horizontal="center" vertical="center" wrapText="1"/>
    </xf>
    <xf numFmtId="0" fontId="9" fillId="5" borderId="71" xfId="0" applyFont="1" applyFill="1" applyBorder="1" applyAlignment="1">
      <alignment horizontal="center" vertical="center" wrapText="1"/>
    </xf>
    <xf numFmtId="0" fontId="9" fillId="10" borderId="26" xfId="1" applyFont="1" applyFill="1" applyBorder="1" applyAlignment="1">
      <alignment horizontal="center" vertical="center" wrapText="1"/>
    </xf>
    <xf numFmtId="0" fontId="9" fillId="6" borderId="25" xfId="0" applyFont="1" applyFill="1" applyBorder="1" applyAlignment="1">
      <alignment horizontal="center" vertical="center" wrapText="1"/>
    </xf>
    <xf numFmtId="0" fontId="9" fillId="5" borderId="90" xfId="0" applyFont="1" applyFill="1" applyBorder="1" applyAlignment="1">
      <alignment horizontal="center" vertical="center" wrapText="1"/>
    </xf>
    <xf numFmtId="0" fontId="9" fillId="5" borderId="91" xfId="0" applyFont="1" applyFill="1" applyBorder="1" applyAlignment="1">
      <alignment horizontal="center" vertical="center" wrapText="1"/>
    </xf>
    <xf numFmtId="0" fontId="9" fillId="6" borderId="26" xfId="0" applyFont="1" applyFill="1" applyBorder="1" applyAlignment="1">
      <alignment vertical="center" wrapText="1"/>
    </xf>
    <xf numFmtId="0" fontId="9" fillId="6" borderId="10" xfId="0" applyFont="1" applyFill="1" applyBorder="1" applyAlignment="1">
      <alignment vertical="center" wrapText="1"/>
    </xf>
    <xf numFmtId="0" fontId="9" fillId="6" borderId="90" xfId="0" applyFont="1" applyFill="1" applyBorder="1" applyAlignment="1">
      <alignment horizontal="center" vertical="center" wrapText="1"/>
    </xf>
    <xf numFmtId="0" fontId="9" fillId="5" borderId="10" xfId="0" applyFont="1" applyFill="1" applyBorder="1" applyAlignment="1">
      <alignment horizontal="center" vertical="center" wrapText="1"/>
    </xf>
    <xf numFmtId="0" fontId="0" fillId="0" borderId="8" xfId="0" applyBorder="1">
      <alignment vertical="center"/>
    </xf>
    <xf numFmtId="0" fontId="15" fillId="0" borderId="76" xfId="0" applyFont="1" applyBorder="1" applyAlignment="1">
      <alignment horizontal="center" vertical="center" wrapText="1"/>
    </xf>
    <xf numFmtId="0" fontId="0" fillId="0" borderId="76" xfId="0" applyBorder="1" applyAlignment="1">
      <alignment horizontal="left" vertical="center" wrapText="1"/>
    </xf>
    <xf numFmtId="0" fontId="23" fillId="12" borderId="7" xfId="0" applyFont="1" applyFill="1" applyBorder="1" applyAlignment="1">
      <alignment horizontal="center" vertical="center" wrapText="1"/>
    </xf>
    <xf numFmtId="0" fontId="1" fillId="0" borderId="66" xfId="5" applyBorder="1" applyAlignment="1">
      <alignment vertical="center" wrapText="1"/>
    </xf>
    <xf numFmtId="0" fontId="0" fillId="0" borderId="5" xfId="0" applyBorder="1" applyAlignment="1">
      <alignment vertical="center" wrapText="1"/>
    </xf>
    <xf numFmtId="0" fontId="1" fillId="0" borderId="67" xfId="5" applyBorder="1" applyAlignment="1">
      <alignment vertical="center" wrapText="1"/>
    </xf>
    <xf numFmtId="0" fontId="0" fillId="0" borderId="67" xfId="0" applyBorder="1" applyAlignment="1">
      <alignment vertical="center" wrapText="1"/>
    </xf>
    <xf numFmtId="14" fontId="0" fillId="0" borderId="8" xfId="0" applyNumberFormat="1" applyBorder="1" applyAlignment="1">
      <alignment vertical="center" wrapText="1"/>
    </xf>
    <xf numFmtId="0" fontId="25" fillId="0" borderId="67" xfId="0" applyFont="1" applyBorder="1" applyAlignment="1">
      <alignment vertical="center" wrapText="1"/>
    </xf>
    <xf numFmtId="0" fontId="1" fillId="0" borderId="5" xfId="6" applyBorder="1" applyAlignment="1">
      <alignment vertical="center" wrapText="1"/>
    </xf>
    <xf numFmtId="0" fontId="1" fillId="0" borderId="6" xfId="6" applyBorder="1" applyAlignment="1">
      <alignment vertical="center" wrapText="1"/>
    </xf>
    <xf numFmtId="0" fontId="0" fillId="0" borderId="93" xfId="0" applyBorder="1">
      <alignment vertical="center"/>
    </xf>
    <xf numFmtId="0" fontId="0" fillId="0" borderId="5" xfId="0" applyBorder="1">
      <alignment vertical="center"/>
    </xf>
    <xf numFmtId="0" fontId="1" fillId="0" borderId="5" xfId="5" applyBorder="1" applyAlignment="1">
      <alignment vertical="center" wrapText="1"/>
    </xf>
    <xf numFmtId="0" fontId="1" fillId="0" borderId="22" xfId="5" applyBorder="1" applyAlignment="1">
      <alignment vertical="center" wrapText="1"/>
    </xf>
    <xf numFmtId="0" fontId="1" fillId="0" borderId="8" xfId="6" applyBorder="1" applyAlignment="1">
      <alignment vertical="center" wrapText="1"/>
    </xf>
    <xf numFmtId="0" fontId="1" fillId="0" borderId="62" xfId="6" applyBorder="1" applyAlignment="1">
      <alignment vertical="center" wrapText="1"/>
    </xf>
    <xf numFmtId="0" fontId="0" fillId="0" borderId="94" xfId="0" applyBorder="1">
      <alignment vertical="center"/>
    </xf>
    <xf numFmtId="0" fontId="1" fillId="0" borderId="8" xfId="5" applyBorder="1" applyAlignment="1">
      <alignment vertical="center" wrapText="1"/>
    </xf>
    <xf numFmtId="0" fontId="1" fillId="0" borderId="23" xfId="5" applyBorder="1" applyAlignment="1">
      <alignment vertical="center" wrapText="1"/>
    </xf>
    <xf numFmtId="0" fontId="1" fillId="0" borderId="62" xfId="5" applyBorder="1" applyAlignment="1">
      <alignment vertical="center" wrapText="1"/>
    </xf>
    <xf numFmtId="0" fontId="26" fillId="0" borderId="8" xfId="0" applyFont="1" applyBorder="1" applyAlignment="1">
      <alignment vertical="center" wrapText="1"/>
    </xf>
    <xf numFmtId="0" fontId="25" fillId="0" borderId="8" xfId="0" applyFont="1" applyBorder="1" applyAlignment="1">
      <alignment vertical="center" wrapText="1"/>
    </xf>
    <xf numFmtId="0" fontId="0" fillId="0" borderId="23" xfId="0" applyBorder="1" applyAlignment="1">
      <alignment vertical="center" wrapText="1"/>
    </xf>
    <xf numFmtId="0" fontId="1" fillId="0" borderId="8" xfId="7" applyBorder="1" applyAlignment="1">
      <alignment vertical="center" wrapText="1"/>
    </xf>
    <xf numFmtId="0" fontId="1" fillId="0" borderId="62" xfId="7" applyBorder="1" applyAlignment="1">
      <alignment vertical="center" wrapText="1"/>
    </xf>
    <xf numFmtId="0" fontId="0" fillId="0" borderId="23" xfId="0" applyBorder="1" applyAlignment="1">
      <alignment wrapText="1"/>
    </xf>
    <xf numFmtId="0" fontId="25" fillId="0" borderId="8" xfId="5" applyFont="1" applyBorder="1" applyAlignment="1">
      <alignment vertical="center" wrapText="1"/>
    </xf>
    <xf numFmtId="0" fontId="25" fillId="0" borderId="8" xfId="6" applyFont="1" applyBorder="1" applyAlignment="1">
      <alignment vertical="center" wrapText="1"/>
    </xf>
    <xf numFmtId="0" fontId="25" fillId="0" borderId="62" xfId="6" applyFont="1" applyBorder="1" applyAlignment="1">
      <alignment vertical="center" wrapText="1"/>
    </xf>
    <xf numFmtId="0" fontId="25" fillId="0" borderId="62" xfId="5" applyFont="1" applyBorder="1" applyAlignment="1">
      <alignment vertical="center" wrapText="1"/>
    </xf>
    <xf numFmtId="0" fontId="0" fillId="0" borderId="24" xfId="0" applyBorder="1" applyAlignment="1">
      <alignment vertical="center" wrapText="1"/>
    </xf>
    <xf numFmtId="0" fontId="0" fillId="0" borderId="6" xfId="0" applyBorder="1" applyAlignment="1">
      <alignment vertical="center" wrapText="1"/>
    </xf>
    <xf numFmtId="14" fontId="0" fillId="0" borderId="62" xfId="0" applyNumberFormat="1" applyBorder="1" applyAlignment="1">
      <alignment vertical="center" wrapText="1"/>
    </xf>
    <xf numFmtId="0" fontId="1" fillId="0" borderId="12" xfId="6" applyBorder="1" applyAlignment="1">
      <alignment vertical="center" wrapText="1"/>
    </xf>
    <xf numFmtId="0" fontId="1" fillId="0" borderId="13" xfId="6" applyBorder="1" applyAlignment="1">
      <alignment vertical="center" wrapText="1"/>
    </xf>
    <xf numFmtId="0" fontId="1" fillId="0" borderId="13" xfId="5" applyBorder="1" applyAlignment="1">
      <alignment vertical="center" wrapText="1"/>
    </xf>
    <xf numFmtId="0" fontId="0" fillId="0" borderId="13" xfId="0" applyBorder="1" applyAlignment="1">
      <alignment vertical="center" wrapText="1"/>
    </xf>
    <xf numFmtId="0" fontId="27" fillId="0" borderId="13" xfId="5" applyFont="1" applyBorder="1" applyAlignment="1">
      <alignment vertical="center" wrapText="1"/>
    </xf>
    <xf numFmtId="0" fontId="25" fillId="0" borderId="13" xfId="5" applyFont="1" applyBorder="1" applyAlignment="1">
      <alignment vertical="center" wrapText="1"/>
    </xf>
    <xf numFmtId="0" fontId="1" fillId="0" borderId="67" xfId="4" applyBorder="1">
      <alignment vertical="center"/>
    </xf>
    <xf numFmtId="0" fontId="1" fillId="0" borderId="8" xfId="4" applyBorder="1" applyAlignment="1">
      <alignment vertical="center" wrapText="1"/>
    </xf>
    <xf numFmtId="0" fontId="1" fillId="0" borderId="14" xfId="4" applyBorder="1">
      <alignment vertical="center"/>
    </xf>
    <xf numFmtId="0" fontId="0" fillId="0" borderId="67" xfId="0" applyBorder="1" applyAlignment="1"/>
    <xf numFmtId="0" fontId="0" fillId="0" borderId="8" xfId="0" applyBorder="1" applyAlignment="1"/>
    <xf numFmtId="0" fontId="0" fillId="0" borderId="14" xfId="0" applyBorder="1" applyAlignment="1"/>
    <xf numFmtId="0" fontId="0" fillId="0" borderId="15" xfId="0" applyBorder="1" applyAlignment="1"/>
    <xf numFmtId="0" fontId="0" fillId="0" borderId="17" xfId="0" applyBorder="1" applyAlignment="1"/>
    <xf numFmtId="0" fontId="0" fillId="0" borderId="16" xfId="0" applyBorder="1" applyAlignment="1"/>
    <xf numFmtId="0" fontId="0" fillId="0" borderId="97" xfId="0" applyBorder="1">
      <alignment vertical="center"/>
    </xf>
    <xf numFmtId="0" fontId="0" fillId="0" borderId="12" xfId="0" applyBorder="1" applyAlignment="1">
      <alignment horizontal="center" vertical="center" wrapText="1"/>
    </xf>
    <xf numFmtId="0" fontId="11" fillId="0" borderId="5" xfId="0" applyFont="1" applyBorder="1" applyAlignment="1">
      <alignment horizontal="center" vertical="center" wrapText="1"/>
    </xf>
    <xf numFmtId="0" fontId="0" fillId="0" borderId="20" xfId="0" applyBorder="1">
      <alignment vertical="center"/>
    </xf>
    <xf numFmtId="0" fontId="0" fillId="0" borderId="13" xfId="0" applyBorder="1" applyAlignment="1">
      <alignment horizontal="center" vertical="center" wrapText="1"/>
    </xf>
    <xf numFmtId="0" fontId="11" fillId="0" borderId="8" xfId="0" applyFont="1" applyBorder="1" applyAlignment="1">
      <alignment horizontal="center" vertical="center" wrapText="1"/>
    </xf>
    <xf numFmtId="0" fontId="20" fillId="0" borderId="8" xfId="0" applyFont="1" applyBorder="1" applyAlignment="1">
      <alignment horizontal="center" vertical="center" wrapText="1"/>
    </xf>
    <xf numFmtId="0" fontId="11" fillId="0" borderId="8" xfId="0" applyFont="1" applyBorder="1" applyAlignment="1">
      <alignment horizontal="center" vertical="center"/>
    </xf>
    <xf numFmtId="14" fontId="0" fillId="0" borderId="13" xfId="0" applyNumberFormat="1" applyBorder="1" applyAlignment="1">
      <alignment horizontal="center" vertical="center" wrapText="1"/>
    </xf>
    <xf numFmtId="0" fontId="0" fillId="0" borderId="21" xfId="0" applyBorder="1">
      <alignment vertical="center"/>
    </xf>
    <xf numFmtId="0" fontId="0" fillId="0" borderId="18" xfId="0" applyBorder="1" applyAlignment="1">
      <alignment horizontal="center" vertical="center" wrapText="1"/>
    </xf>
    <xf numFmtId="0" fontId="0" fillId="0" borderId="8" xfId="0" applyFill="1" applyBorder="1">
      <alignment vertical="center"/>
    </xf>
    <xf numFmtId="0" fontId="0" fillId="0" borderId="17" xfId="0" applyFill="1" applyBorder="1">
      <alignment vertical="center"/>
    </xf>
    <xf numFmtId="0" fontId="20" fillId="0" borderId="8" xfId="0" applyFont="1" applyBorder="1" applyAlignment="1">
      <alignment horizontal="center" vertical="center"/>
    </xf>
    <xf numFmtId="0" fontId="20" fillId="0" borderId="8" xfId="8" applyFont="1" applyBorder="1" applyAlignment="1">
      <alignment horizontal="center" vertical="center"/>
    </xf>
    <xf numFmtId="0" fontId="11" fillId="0" borderId="17" xfId="0" applyFont="1" applyBorder="1" applyAlignment="1">
      <alignment horizontal="center" vertical="center" wrapText="1"/>
    </xf>
    <xf numFmtId="0" fontId="0" fillId="0" borderId="54" xfId="0" applyBorder="1" applyAlignment="1">
      <alignment horizontal="left" vertical="center" wrapText="1"/>
    </xf>
    <xf numFmtId="0" fontId="13" fillId="2" borderId="38" xfId="0" applyFont="1" applyFill="1" applyBorder="1" applyAlignment="1">
      <alignment horizontal="center" vertical="center"/>
    </xf>
    <xf numFmtId="0" fontId="13" fillId="2" borderId="45" xfId="0" applyFont="1" applyFill="1" applyBorder="1" applyAlignment="1">
      <alignment horizontal="center" vertical="center"/>
    </xf>
    <xf numFmtId="0" fontId="13" fillId="2" borderId="39" xfId="0" applyFont="1" applyFill="1" applyBorder="1" applyAlignment="1">
      <alignment horizontal="center" vertical="center"/>
    </xf>
    <xf numFmtId="0" fontId="0" fillId="0" borderId="41" xfId="0" applyBorder="1" applyAlignment="1">
      <alignment horizontal="left" vertical="center" wrapText="1"/>
    </xf>
    <xf numFmtId="0" fontId="0" fillId="0" borderId="42" xfId="0" applyBorder="1" applyAlignment="1">
      <alignment horizontal="left" vertical="center" wrapText="1"/>
    </xf>
    <xf numFmtId="0" fontId="0" fillId="0" borderId="43" xfId="0" applyBorder="1" applyAlignment="1">
      <alignment horizontal="left" vertical="center" wrapText="1"/>
    </xf>
    <xf numFmtId="0" fontId="0" fillId="0" borderId="44" xfId="0" applyBorder="1" applyAlignment="1">
      <alignment horizontal="left" vertical="center" wrapText="1"/>
    </xf>
    <xf numFmtId="0" fontId="0" fillId="0" borderId="46" xfId="0" applyBorder="1" applyAlignment="1">
      <alignment horizontal="left" vertical="center" wrapText="1"/>
    </xf>
    <xf numFmtId="0" fontId="0" fillId="0" borderId="47" xfId="0" applyBorder="1" applyAlignment="1">
      <alignment horizontal="left" vertical="center" wrapText="1"/>
    </xf>
    <xf numFmtId="0" fontId="0" fillId="0" borderId="48" xfId="0" applyBorder="1" applyAlignment="1">
      <alignment horizontal="left" vertical="center" wrapText="1"/>
    </xf>
    <xf numFmtId="0" fontId="0" fillId="0" borderId="49" xfId="0" applyBorder="1" applyAlignment="1">
      <alignment horizontal="left" vertical="center" wrapText="1"/>
    </xf>
    <xf numFmtId="0" fontId="14" fillId="0" borderId="77" xfId="0" applyFont="1" applyBorder="1" applyAlignment="1">
      <alignment horizontal="left" vertical="top" wrapText="1"/>
    </xf>
    <xf numFmtId="0" fontId="0" fillId="0" borderId="0" xfId="0" applyAlignment="1">
      <alignment horizontal="left" vertical="top"/>
    </xf>
    <xf numFmtId="0" fontId="0" fillId="0" borderId="78" xfId="0" applyBorder="1" applyAlignment="1">
      <alignment horizontal="left" vertical="top"/>
    </xf>
    <xf numFmtId="0" fontId="4" fillId="2" borderId="85" xfId="0" applyFont="1" applyFill="1" applyBorder="1" applyAlignment="1">
      <alignment horizontal="center" vertical="center"/>
    </xf>
    <xf numFmtId="0" fontId="4" fillId="2" borderId="34" xfId="0" applyFont="1" applyFill="1" applyBorder="1" applyAlignment="1">
      <alignment horizontal="center" vertical="center"/>
    </xf>
    <xf numFmtId="0" fontId="4" fillId="2" borderId="86" xfId="0" applyFont="1" applyFill="1" applyBorder="1" applyAlignment="1">
      <alignment horizontal="center" vertical="center"/>
    </xf>
    <xf numFmtId="0" fontId="19" fillId="2" borderId="87" xfId="0" applyFont="1" applyFill="1" applyBorder="1" applyAlignment="1">
      <alignment horizontal="center" vertical="top"/>
    </xf>
    <xf numFmtId="0" fontId="19" fillId="2" borderId="88" xfId="0" applyFont="1" applyFill="1" applyBorder="1" applyAlignment="1">
      <alignment horizontal="center" vertical="top"/>
    </xf>
    <xf numFmtId="0" fontId="19" fillId="2" borderId="89" xfId="0" applyFont="1" applyFill="1" applyBorder="1" applyAlignment="1">
      <alignment horizontal="center" vertical="top"/>
    </xf>
    <xf numFmtId="49" fontId="0" fillId="14" borderId="73" xfId="0" applyNumberFormat="1" applyFill="1" applyBorder="1" applyAlignment="1">
      <alignment horizontal="center" vertical="center" wrapText="1"/>
    </xf>
    <xf numFmtId="49" fontId="0" fillId="14" borderId="63" xfId="0" applyNumberFormat="1" applyFill="1" applyBorder="1" applyAlignment="1">
      <alignment horizontal="center" vertical="center" wrapText="1"/>
    </xf>
    <xf numFmtId="0" fontId="0" fillId="0" borderId="81" xfId="0" applyBorder="1" applyAlignment="1">
      <alignment horizontal="left" vertical="top" wrapText="1"/>
    </xf>
    <xf numFmtId="0" fontId="0" fillId="0" borderId="82" xfId="0" applyBorder="1" applyAlignment="1">
      <alignment horizontal="left" vertical="top" wrapText="1"/>
    </xf>
    <xf numFmtId="0" fontId="0" fillId="0" borderId="83" xfId="0" applyBorder="1" applyAlignment="1">
      <alignment horizontal="left" vertical="top" wrapText="1"/>
    </xf>
    <xf numFmtId="0" fontId="22" fillId="0" borderId="0" xfId="0" applyFont="1" applyFill="1" applyBorder="1" applyAlignment="1">
      <alignment horizontal="center" vertical="center"/>
    </xf>
    <xf numFmtId="0" fontId="9" fillId="6" borderId="68" xfId="0" applyFont="1" applyFill="1" applyBorder="1" applyAlignment="1">
      <alignment horizontal="center" vertical="center"/>
    </xf>
    <xf numFmtId="0" fontId="9" fillId="6" borderId="69" xfId="0" applyFont="1" applyFill="1" applyBorder="1" applyAlignment="1">
      <alignment horizontal="center" vertical="center"/>
    </xf>
    <xf numFmtId="0" fontId="9" fillId="6" borderId="92" xfId="0" applyFont="1" applyFill="1" applyBorder="1" applyAlignment="1">
      <alignment horizontal="center" vertical="center"/>
    </xf>
    <xf numFmtId="0" fontId="9" fillId="5" borderId="70" xfId="0" applyFont="1" applyFill="1" applyBorder="1" applyAlignment="1">
      <alignment horizontal="center" vertical="center"/>
    </xf>
    <xf numFmtId="0" fontId="9" fillId="5" borderId="69" xfId="0" applyFont="1" applyFill="1" applyBorder="1" applyAlignment="1">
      <alignment horizontal="center" vertical="center"/>
    </xf>
    <xf numFmtId="0" fontId="9" fillId="5" borderId="92" xfId="0" applyFont="1" applyFill="1" applyBorder="1" applyAlignment="1">
      <alignment horizontal="center" vertical="center"/>
    </xf>
    <xf numFmtId="0" fontId="0" fillId="0" borderId="0" xfId="0" applyFill="1" applyBorder="1" applyAlignment="1">
      <alignment horizontal="center" vertical="center"/>
    </xf>
    <xf numFmtId="0" fontId="9" fillId="10" borderId="103" xfId="0" applyFont="1" applyFill="1" applyBorder="1" applyAlignment="1">
      <alignment horizontal="center" vertical="center"/>
    </xf>
    <xf numFmtId="0" fontId="16" fillId="0" borderId="0" xfId="0" applyFont="1" applyAlignment="1">
      <alignment horizontal="center" vertical="center" wrapText="1"/>
    </xf>
    <xf numFmtId="0" fontId="4" fillId="0" borderId="0" xfId="0" applyFont="1">
      <alignment vertical="center"/>
    </xf>
    <xf numFmtId="0" fontId="6" fillId="5" borderId="0" xfId="0" applyFont="1" applyFill="1" applyAlignment="1">
      <alignment vertical="center" wrapText="1"/>
    </xf>
    <xf numFmtId="0" fontId="12" fillId="0" borderId="8" xfId="0" applyFont="1" applyBorder="1" applyAlignment="1">
      <alignment horizontal="left" vertical="center" wrapText="1"/>
    </xf>
    <xf numFmtId="0" fontId="12" fillId="9" borderId="13" xfId="0" applyFont="1" applyFill="1" applyBorder="1" applyAlignment="1">
      <alignment horizontal="left" vertical="center" wrapText="1"/>
    </xf>
    <xf numFmtId="0" fontId="0" fillId="0" borderId="67" xfId="0" applyBorder="1" applyAlignment="1">
      <alignment horizontal="left" vertical="center" wrapText="1"/>
    </xf>
    <xf numFmtId="0" fontId="30" fillId="0" borderId="62" xfId="0" applyFont="1" applyBorder="1" applyAlignment="1">
      <alignment vertical="center" wrapText="1"/>
    </xf>
    <xf numFmtId="0" fontId="0" fillId="0" borderId="0" xfId="0" applyAlignment="1">
      <alignment horizontal="center" vertical="center"/>
    </xf>
    <xf numFmtId="0" fontId="27" fillId="0" borderId="23" xfId="5" applyFont="1" applyBorder="1" applyAlignment="1">
      <alignment vertical="center" wrapText="1"/>
    </xf>
    <xf numFmtId="0" fontId="0" fillId="0" borderId="67" xfId="0" applyFill="1" applyBorder="1" applyAlignment="1">
      <alignment vertical="center" wrapText="1"/>
    </xf>
    <xf numFmtId="0" fontId="0" fillId="0" borderId="8" xfId="0" applyFill="1" applyBorder="1" applyAlignment="1">
      <alignment vertical="center" wrapText="1"/>
    </xf>
    <xf numFmtId="0" fontId="0" fillId="0" borderId="62" xfId="0" applyFill="1" applyBorder="1" applyAlignment="1">
      <alignment vertical="center" wrapText="1"/>
    </xf>
    <xf numFmtId="0" fontId="0" fillId="0" borderId="94" xfId="0" applyFill="1" applyBorder="1">
      <alignment vertical="center"/>
    </xf>
    <xf numFmtId="0" fontId="1" fillId="0" borderId="8" xfId="5" applyFill="1" applyBorder="1" applyAlignment="1">
      <alignment vertical="center" wrapText="1"/>
    </xf>
    <xf numFmtId="0" fontId="1" fillId="0" borderId="67" xfId="5" applyFill="1" applyBorder="1" applyAlignment="1">
      <alignment vertical="center" wrapText="1"/>
    </xf>
    <xf numFmtId="0" fontId="1" fillId="0" borderId="13" xfId="5" applyFill="1" applyBorder="1" applyAlignment="1">
      <alignment vertical="center" wrapText="1"/>
    </xf>
    <xf numFmtId="0" fontId="1" fillId="0" borderId="8" xfId="7" applyFill="1" applyBorder="1" applyAlignment="1">
      <alignment vertical="center" wrapText="1"/>
    </xf>
    <xf numFmtId="0" fontId="1" fillId="0" borderId="62" xfId="7" applyFill="1" applyBorder="1" applyAlignment="1">
      <alignment vertical="center" wrapText="1"/>
    </xf>
    <xf numFmtId="0" fontId="1" fillId="0" borderId="62" xfId="5" applyFill="1" applyBorder="1" applyAlignment="1">
      <alignment vertical="center" wrapText="1"/>
    </xf>
    <xf numFmtId="0" fontId="1" fillId="0" borderId="13" xfId="6" applyFill="1" applyBorder="1" applyAlignment="1">
      <alignment vertical="center" wrapText="1"/>
    </xf>
    <xf numFmtId="0" fontId="1" fillId="0" borderId="8" xfId="6" applyFill="1" applyBorder="1" applyAlignment="1">
      <alignment vertical="center" wrapText="1"/>
    </xf>
    <xf numFmtId="0" fontId="1" fillId="0" borderId="62" xfId="6" applyFill="1" applyBorder="1" applyAlignment="1">
      <alignment vertical="center" wrapText="1"/>
    </xf>
    <xf numFmtId="0" fontId="0" fillId="0" borderId="13" xfId="0" applyFill="1" applyBorder="1" applyAlignment="1">
      <alignment vertical="center" wrapText="1"/>
    </xf>
    <xf numFmtId="0" fontId="1" fillId="0" borderId="15" xfId="5" applyFill="1" applyBorder="1" applyAlignment="1">
      <alignment vertical="center" wrapText="1"/>
    </xf>
    <xf numFmtId="0" fontId="0" fillId="0" borderId="17" xfId="0" applyFill="1" applyBorder="1" applyAlignment="1">
      <alignment vertical="center" wrapText="1"/>
    </xf>
    <xf numFmtId="0" fontId="0" fillId="0" borderId="95" xfId="0" applyFill="1" applyBorder="1" applyAlignment="1">
      <alignment vertical="center" wrapText="1"/>
    </xf>
    <xf numFmtId="0" fontId="0" fillId="0" borderId="96" xfId="0" applyFill="1" applyBorder="1">
      <alignment vertical="center"/>
    </xf>
    <xf numFmtId="0" fontId="1" fillId="0" borderId="17" xfId="5" applyFill="1" applyBorder="1" applyAlignment="1">
      <alignment vertical="center" wrapText="1"/>
    </xf>
    <xf numFmtId="0" fontId="0" fillId="0" borderId="8" xfId="6" applyFont="1" applyFill="1" applyBorder="1" applyAlignment="1">
      <alignment vertical="center" wrapText="1"/>
    </xf>
    <xf numFmtId="0" fontId="1" fillId="0" borderId="23" xfId="5" applyFill="1" applyBorder="1" applyAlignment="1">
      <alignment vertical="center" wrapText="1"/>
    </xf>
    <xf numFmtId="0" fontId="0" fillId="0" borderId="23" xfId="0" applyFill="1" applyBorder="1" applyAlignment="1">
      <alignment vertical="center" wrapText="1"/>
    </xf>
  </cellXfs>
  <cellStyles count="9">
    <cellStyle name="20% - Accent5" xfId="3" builtinId="46"/>
    <cellStyle name="Accent5" xfId="2" builtinId="45"/>
    <cellStyle name="Normal" xfId="0" builtinId="0"/>
    <cellStyle name="Normal 20" xfId="8" xr:uid="{9F0170D3-FD31-4C20-9CE0-4D86E674F46B}"/>
    <cellStyle name="標準 2" xfId="1" xr:uid="{00000000-0005-0000-0000-000003000000}"/>
    <cellStyle name="標準 3" xfId="5" xr:uid="{4C30235B-7795-4969-8FC1-814DD009BF05}"/>
    <cellStyle name="標準 4" xfId="4" xr:uid="{00000000-0005-0000-0000-000004000000}"/>
    <cellStyle name="標準 5" xfId="7" xr:uid="{0BF39461-E153-4A32-B638-01800B5B7BCC}"/>
    <cellStyle name="標準 6" xfId="6" xr:uid="{D7CCCBAE-42B0-4CD8-918F-E1BD9B089C54}"/>
  </cellStyles>
  <dxfs count="28">
    <dxf>
      <fill>
        <patternFill>
          <bgColor theme="0"/>
        </patternFill>
      </fill>
    </dxf>
    <dxf>
      <font>
        <color auto="1"/>
      </font>
      <fill>
        <patternFill>
          <bgColor rgb="FFFFFFCC"/>
        </patternFill>
      </fill>
    </dxf>
    <dxf>
      <fill>
        <patternFill>
          <bgColor theme="0"/>
        </patternFill>
      </fill>
    </dxf>
    <dxf>
      <font>
        <color auto="1"/>
      </font>
      <fill>
        <patternFill>
          <bgColor rgb="FFFFFFCC"/>
        </patternFill>
      </fill>
    </dxf>
    <dxf>
      <fill>
        <patternFill>
          <bgColor theme="0"/>
        </patternFill>
      </fill>
    </dxf>
    <dxf>
      <font>
        <color auto="1"/>
      </font>
      <fill>
        <patternFill>
          <bgColor rgb="FFFFFFCC"/>
        </patternFill>
      </fill>
    </dxf>
    <dxf>
      <fill>
        <patternFill patternType="solid">
          <bgColor theme="0" tint="-0.14996795556505021"/>
        </patternFill>
      </fill>
    </dxf>
    <dxf>
      <fill>
        <patternFill>
          <bgColor theme="6" tint="0.79998168889431442"/>
        </patternFill>
      </fill>
    </dxf>
    <dxf>
      <fill>
        <patternFill patternType="solid">
          <bgColor theme="9" tint="0.79998168889431442"/>
        </patternFill>
      </fill>
    </dxf>
    <dxf>
      <font>
        <color auto="1"/>
      </font>
      <fill>
        <patternFill>
          <bgColor rgb="FFFFFFCC"/>
        </patternFill>
      </fill>
    </dxf>
    <dxf>
      <fill>
        <patternFill>
          <bgColor rgb="FFFFFF99"/>
        </patternFill>
      </fill>
    </dxf>
    <dxf>
      <fill>
        <patternFill>
          <bgColor rgb="FFFFFF99"/>
        </patternFill>
      </fill>
    </dxf>
    <dxf>
      <fill>
        <patternFill patternType="solid">
          <bgColor theme="0" tint="-0.14996795556505021"/>
        </patternFill>
      </fill>
    </dxf>
    <dxf>
      <fill>
        <patternFill patternType="solid">
          <bgColor theme="9" tint="0.79998168889431442"/>
        </patternFill>
      </fill>
    </dxf>
    <dxf>
      <fill>
        <patternFill patternType="solid">
          <bgColor theme="0" tint="-0.14996795556505021"/>
        </patternFill>
      </fill>
    </dxf>
    <dxf>
      <fill>
        <patternFill>
          <bgColor theme="6" tint="0.79998168889431442"/>
        </patternFill>
      </fill>
    </dxf>
    <dxf>
      <fill>
        <patternFill>
          <bgColor theme="0"/>
        </patternFill>
      </fill>
    </dxf>
    <dxf>
      <fill>
        <patternFill patternType="solid">
          <bgColor theme="9" tint="0.79998168889431442"/>
        </patternFill>
      </fill>
    </dxf>
    <dxf>
      <font>
        <color auto="1"/>
      </font>
      <fill>
        <patternFill>
          <bgColor rgb="FFFFFFCC"/>
        </patternFill>
      </fill>
    </dxf>
    <dxf>
      <fill>
        <patternFill patternType="solid">
          <bgColor theme="0" tint="-0.14996795556505021"/>
        </patternFill>
      </fill>
    </dxf>
    <dxf>
      <fill>
        <patternFill patternType="solid">
          <bgColor theme="9" tint="0.79998168889431442"/>
        </patternFill>
      </fill>
    </dxf>
    <dxf>
      <fill>
        <patternFill patternType="solid">
          <bgColor theme="0" tint="-0.14996795556505021"/>
        </patternFill>
      </fill>
    </dxf>
    <dxf>
      <fill>
        <patternFill>
          <bgColor theme="6" tint="0.79998168889431442"/>
        </patternFill>
      </fill>
    </dxf>
    <dxf>
      <fill>
        <patternFill>
          <bgColor theme="0"/>
        </patternFill>
      </fill>
    </dxf>
    <dxf>
      <fill>
        <patternFill patternType="solid">
          <bgColor theme="9" tint="0.79998168889431442"/>
        </patternFill>
      </fill>
    </dxf>
    <dxf>
      <font>
        <color auto="1"/>
      </font>
      <fill>
        <patternFill>
          <bgColor rgb="FFFFFFCC"/>
        </patternFill>
      </fill>
    </dxf>
    <dxf>
      <fill>
        <patternFill patternType="solid">
          <bgColor theme="0" tint="-0.14996795556505021"/>
        </patternFill>
      </fill>
    </dxf>
    <dxf>
      <font>
        <color auto="1"/>
      </font>
      <fill>
        <patternFill>
          <bgColor rgb="FFFFFFCC"/>
        </patternFill>
      </fill>
    </dxf>
  </dxfs>
  <tableStyles count="0" defaultTableStyle="TableStyleMedium2" defaultPivotStyle="PivotStyleLight16"/>
  <colors>
    <mruColors>
      <color rgb="FF00FF00"/>
      <color rgb="FFFFFFCC"/>
      <color rgb="FFFFFF99"/>
      <color rgb="FFFECE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47625</xdr:rowOff>
        </xdr:from>
        <xdr:to>
          <xdr:col>3</xdr:col>
          <xdr:colOff>1276350</xdr:colOff>
          <xdr:row>1</xdr:row>
          <xdr:rowOff>390525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200" b="0" i="0" u="none" strike="noStrike" baseline="0">
                  <a:solidFill>
                    <a:srgbClr val="000000"/>
                  </a:solidFill>
                  <a:latin typeface="ＭＳ Ｐゴシック"/>
                  <a:ea typeface="ＭＳ Ｐゴシック"/>
                </a:rPr>
                <a:t>Load amiibo Data List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5.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1072A-C5B5-4413-85EC-BDD8607791C9}">
  <sheetPr codeName="Sheet9"/>
  <dimension ref="A1:G33"/>
  <sheetViews>
    <sheetView showGridLines="0" tabSelected="1" zoomScale="80" zoomScaleNormal="80" workbookViewId="0"/>
  </sheetViews>
  <sheetFormatPr defaultColWidth="9" defaultRowHeight="15"/>
  <cols>
    <col min="1" max="2" width="3" style="26" customWidth="1"/>
    <col min="3" max="3" width="16.28515625" style="26" customWidth="1"/>
    <col min="4" max="4" width="26.140625" style="26" customWidth="1"/>
    <col min="5" max="5" width="85.140625" style="26" customWidth="1"/>
    <col min="6" max="6" width="3" style="26" customWidth="1"/>
    <col min="7" max="7" width="15.5703125" style="26" customWidth="1"/>
    <col min="8" max="16384" width="9" style="26"/>
  </cols>
  <sheetData>
    <row r="1" spans="1:7" ht="15.75" thickBot="1">
      <c r="A1" s="122"/>
      <c r="B1" s="25"/>
      <c r="C1" s="25"/>
      <c r="D1" s="25"/>
      <c r="E1" s="25"/>
      <c r="F1" s="25"/>
      <c r="G1" s="122"/>
    </row>
    <row r="2" spans="1:7" ht="33" thickTop="1" thickBot="1">
      <c r="A2" s="27"/>
      <c r="B2" s="228" t="s">
        <v>959</v>
      </c>
      <c r="C2" s="229"/>
      <c r="D2" s="229"/>
      <c r="E2" s="229"/>
      <c r="F2" s="230"/>
      <c r="G2" s="28" t="s">
        <v>909</v>
      </c>
    </row>
    <row r="3" spans="1:7" ht="34.5" customHeight="1" thickTop="1" thickBot="1">
      <c r="A3" s="122"/>
      <c r="B3" s="29"/>
      <c r="C3" s="29"/>
      <c r="D3" s="30"/>
      <c r="E3" s="30"/>
      <c r="F3" s="30"/>
    </row>
    <row r="4" spans="1:7" ht="21.75" customHeight="1" thickBot="1">
      <c r="A4" s="27"/>
      <c r="B4" s="214" t="s">
        <v>960</v>
      </c>
      <c r="C4" s="216"/>
      <c r="D4" s="31"/>
      <c r="E4" s="31"/>
      <c r="F4" s="25"/>
      <c r="G4" s="122"/>
    </row>
    <row r="5" spans="1:7" s="34" customFormat="1" ht="62.25" customHeight="1" thickBot="1">
      <c r="A5" s="32"/>
      <c r="B5" s="217" t="s">
        <v>961</v>
      </c>
      <c r="C5" s="218"/>
      <c r="D5" s="218"/>
      <c r="E5" s="219"/>
      <c r="F5" s="220"/>
      <c r="G5" s="33"/>
    </row>
    <row r="6" spans="1:7" ht="34.5" customHeight="1" thickBot="1">
      <c r="A6" s="122"/>
      <c r="B6" s="35"/>
      <c r="C6" s="36"/>
      <c r="D6" s="36"/>
      <c r="E6" s="36"/>
      <c r="F6" s="36"/>
    </row>
    <row r="7" spans="1:7" ht="21.75" customHeight="1" thickBot="1">
      <c r="A7" s="27"/>
      <c r="B7" s="214" t="s">
        <v>962</v>
      </c>
      <c r="C7" s="216"/>
      <c r="D7" s="37"/>
      <c r="E7" s="37"/>
      <c r="F7" s="37"/>
      <c r="G7" s="122"/>
    </row>
    <row r="8" spans="1:7" ht="138" customHeight="1" thickBot="1">
      <c r="A8" s="27"/>
      <c r="B8" s="217" t="s">
        <v>963</v>
      </c>
      <c r="C8" s="218"/>
      <c r="D8" s="218"/>
      <c r="E8" s="219"/>
      <c r="F8" s="220"/>
      <c r="G8" s="38"/>
    </row>
    <row r="9" spans="1:7" ht="34.5" customHeight="1" thickBot="1">
      <c r="A9" s="122"/>
      <c r="B9" s="35"/>
      <c r="C9" s="35"/>
      <c r="D9" s="35"/>
      <c r="E9" s="36"/>
      <c r="F9" s="36"/>
    </row>
    <row r="10" spans="1:7" ht="21.75" customHeight="1" thickBot="1">
      <c r="A10" s="27"/>
      <c r="B10" s="214" t="s">
        <v>964</v>
      </c>
      <c r="C10" s="215"/>
      <c r="D10" s="216"/>
      <c r="E10" s="39"/>
      <c r="F10" s="37"/>
      <c r="G10" s="122"/>
    </row>
    <row r="11" spans="1:7" ht="197.25" customHeight="1">
      <c r="A11" s="27"/>
      <c r="B11" s="221" t="s">
        <v>965</v>
      </c>
      <c r="C11" s="222"/>
      <c r="D11" s="222"/>
      <c r="E11" s="223"/>
      <c r="F11" s="224"/>
      <c r="G11" s="38"/>
    </row>
    <row r="12" spans="1:7">
      <c r="A12" s="27"/>
      <c r="B12" s="40"/>
      <c r="C12" s="37"/>
      <c r="D12" s="37"/>
      <c r="E12" s="41"/>
      <c r="F12" s="42"/>
      <c r="G12" s="38"/>
    </row>
    <row r="13" spans="1:7" ht="54" customHeight="1">
      <c r="A13" s="27"/>
      <c r="B13" s="43"/>
      <c r="C13" s="121" t="s">
        <v>966</v>
      </c>
      <c r="D13" s="213" t="s">
        <v>967</v>
      </c>
      <c r="E13" s="213"/>
      <c r="F13" s="44"/>
      <c r="G13" s="38"/>
    </row>
    <row r="14" spans="1:7" ht="54" customHeight="1">
      <c r="A14" s="27"/>
      <c r="B14" s="43"/>
      <c r="C14" s="121" t="s">
        <v>968</v>
      </c>
      <c r="D14" s="213" t="s">
        <v>969</v>
      </c>
      <c r="E14" s="213"/>
      <c r="F14" s="44"/>
      <c r="G14" s="38"/>
    </row>
    <row r="15" spans="1:7" ht="54" customHeight="1">
      <c r="A15" s="27"/>
      <c r="B15" s="43"/>
      <c r="C15" s="121" t="s">
        <v>970</v>
      </c>
      <c r="D15" s="213" t="s">
        <v>971</v>
      </c>
      <c r="E15" s="213"/>
      <c r="F15" s="44"/>
      <c r="G15" s="38"/>
    </row>
    <row r="16" spans="1:7" ht="54" customHeight="1">
      <c r="A16" s="27"/>
      <c r="B16" s="43"/>
      <c r="C16" s="121" t="s">
        <v>972</v>
      </c>
      <c r="D16" s="213" t="s">
        <v>973</v>
      </c>
      <c r="E16" s="213"/>
      <c r="F16" s="44"/>
      <c r="G16" s="38"/>
    </row>
    <row r="17" spans="1:7" ht="12.75" customHeight="1">
      <c r="A17" s="27"/>
      <c r="B17" s="94"/>
      <c r="C17" s="148"/>
      <c r="D17" s="149"/>
      <c r="E17" s="2"/>
      <c r="F17" s="95"/>
      <c r="G17" s="38"/>
    </row>
    <row r="18" spans="1:7" ht="27.75" customHeight="1">
      <c r="A18" s="27"/>
      <c r="B18" s="225" t="s">
        <v>974</v>
      </c>
      <c r="C18" s="226"/>
      <c r="D18" s="226"/>
      <c r="E18" s="226"/>
      <c r="F18" s="227"/>
      <c r="G18" s="38"/>
    </row>
    <row r="19" spans="1:7" ht="15.75" thickBot="1">
      <c r="A19" s="27"/>
      <c r="B19" s="45"/>
      <c r="C19" s="46"/>
      <c r="D19" s="46"/>
      <c r="E19" s="47"/>
      <c r="F19" s="48"/>
      <c r="G19" s="38"/>
    </row>
    <row r="20" spans="1:7" ht="34.5" customHeight="1" thickBot="1">
      <c r="A20" s="122"/>
      <c r="B20" s="29"/>
      <c r="C20" s="29"/>
      <c r="D20" s="30"/>
      <c r="E20" s="30"/>
      <c r="F20" s="30"/>
      <c r="G20" s="122"/>
    </row>
    <row r="21" spans="1:7" ht="21.75" customHeight="1" thickBot="1">
      <c r="A21" s="27"/>
      <c r="B21" s="214" t="s">
        <v>975</v>
      </c>
      <c r="C21" s="215"/>
      <c r="D21" s="216"/>
      <c r="E21" s="39"/>
      <c r="F21" s="37"/>
      <c r="G21" s="122"/>
    </row>
    <row r="22" spans="1:7" ht="150.75" customHeight="1" thickBot="1">
      <c r="A22" s="27"/>
      <c r="B22" s="217" t="s">
        <v>976</v>
      </c>
      <c r="C22" s="218"/>
      <c r="D22" s="218"/>
      <c r="E22" s="219"/>
      <c r="F22" s="220"/>
      <c r="G22" s="38"/>
    </row>
    <row r="23" spans="1:7" ht="34.5" customHeight="1" thickBot="1">
      <c r="A23" s="122"/>
      <c r="B23" s="29"/>
      <c r="C23" s="29"/>
      <c r="D23" s="30"/>
      <c r="E23" s="30"/>
      <c r="F23" s="30"/>
      <c r="G23" s="74"/>
    </row>
    <row r="24" spans="1:7" ht="21.75" customHeight="1" thickBot="1">
      <c r="A24" s="27"/>
      <c r="B24" s="214" t="s">
        <v>977</v>
      </c>
      <c r="C24" s="215"/>
      <c r="D24" s="216"/>
      <c r="E24" s="39"/>
      <c r="F24" s="37"/>
      <c r="G24" s="30"/>
    </row>
    <row r="25" spans="1:7" ht="15" customHeight="1">
      <c r="A25" s="27"/>
      <c r="B25" s="221" t="s">
        <v>978</v>
      </c>
      <c r="C25" s="222"/>
      <c r="D25" s="222"/>
      <c r="E25" s="223"/>
      <c r="F25" s="224"/>
      <c r="G25" s="38"/>
    </row>
    <row r="26" spans="1:7">
      <c r="A26" s="27"/>
      <c r="B26" s="49"/>
      <c r="C26" s="25"/>
      <c r="D26" s="25"/>
      <c r="E26" s="50"/>
      <c r="F26" s="51"/>
      <c r="G26" s="38"/>
    </row>
    <row r="27" spans="1:7" ht="30" customHeight="1">
      <c r="A27" s="27"/>
      <c r="B27" s="43"/>
      <c r="C27" s="52" t="s">
        <v>979</v>
      </c>
      <c r="D27" s="213" t="s">
        <v>980</v>
      </c>
      <c r="E27" s="213"/>
      <c r="F27" s="44"/>
      <c r="G27" s="38"/>
    </row>
    <row r="28" spans="1:7" ht="30" customHeight="1">
      <c r="A28" s="27"/>
      <c r="B28" s="43"/>
      <c r="C28" s="52" t="s">
        <v>981</v>
      </c>
      <c r="D28" s="213" t="s">
        <v>982</v>
      </c>
      <c r="E28" s="213"/>
      <c r="F28" s="44"/>
      <c r="G28" s="38"/>
    </row>
    <row r="29" spans="1:7" ht="30" customHeight="1">
      <c r="A29" s="27"/>
      <c r="B29" s="43"/>
      <c r="C29" s="52" t="s">
        <v>983</v>
      </c>
      <c r="D29" s="213" t="s">
        <v>984</v>
      </c>
      <c r="E29" s="213"/>
      <c r="F29" s="44"/>
      <c r="G29" s="38"/>
    </row>
    <row r="30" spans="1:7" ht="15.75" thickBot="1">
      <c r="A30" s="27"/>
      <c r="B30" s="45"/>
      <c r="C30" s="53"/>
      <c r="D30" s="53"/>
      <c r="E30" s="54"/>
      <c r="F30" s="48"/>
      <c r="G30" s="38"/>
    </row>
    <row r="31" spans="1:7" ht="34.5" customHeight="1" thickBot="1">
      <c r="A31" s="122"/>
      <c r="B31" s="30"/>
      <c r="C31" s="30"/>
      <c r="D31" s="30"/>
      <c r="E31" s="30"/>
      <c r="F31" s="30"/>
      <c r="G31" s="122"/>
    </row>
    <row r="32" spans="1:7" ht="21.75" customHeight="1" thickBot="1">
      <c r="B32" s="214" t="s">
        <v>985</v>
      </c>
      <c r="C32" s="215"/>
      <c r="D32" s="216"/>
      <c r="E32" s="39"/>
      <c r="F32" s="37"/>
    </row>
    <row r="33" spans="2:6" ht="346.5" customHeight="1" thickBot="1">
      <c r="B33" s="217" t="s">
        <v>986</v>
      </c>
      <c r="C33" s="218"/>
      <c r="D33" s="218"/>
      <c r="E33" s="219"/>
      <c r="F33" s="220"/>
    </row>
  </sheetData>
  <mergeCells count="21">
    <mergeCell ref="B18:F18"/>
    <mergeCell ref="B2:F2"/>
    <mergeCell ref="B4:C4"/>
    <mergeCell ref="B5:F5"/>
    <mergeCell ref="B7:C7"/>
    <mergeCell ref="B8:F8"/>
    <mergeCell ref="B10:D10"/>
    <mergeCell ref="B11:F11"/>
    <mergeCell ref="D13:E13"/>
    <mergeCell ref="D14:E14"/>
    <mergeCell ref="D15:E15"/>
    <mergeCell ref="D16:E16"/>
    <mergeCell ref="D29:E29"/>
    <mergeCell ref="B32:D32"/>
    <mergeCell ref="B33:F33"/>
    <mergeCell ref="B21:D21"/>
    <mergeCell ref="B22:F22"/>
    <mergeCell ref="B24:D24"/>
    <mergeCell ref="B25:F25"/>
    <mergeCell ref="D27:E27"/>
    <mergeCell ref="D28:E28"/>
  </mergeCells>
  <phoneticPr fontId="2"/>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B050"/>
  </sheetPr>
  <dimension ref="A1:O46"/>
  <sheetViews>
    <sheetView zoomScale="90" zoomScaleNormal="90" workbookViewId="0">
      <selection activeCell="U11" sqref="U11"/>
    </sheetView>
  </sheetViews>
  <sheetFormatPr defaultRowHeight="15" outlineLevelRow="1" outlineLevelCol="1"/>
  <cols>
    <col min="1" max="1" width="10.85546875" customWidth="1"/>
    <col min="2" max="2" width="13.5703125" style="73" hidden="1" customWidth="1" outlineLevel="1"/>
    <col min="3" max="3" width="14" style="15" customWidth="1" collapsed="1"/>
    <col min="4" max="4" width="20.5703125" style="15" customWidth="1"/>
    <col min="5" max="5" width="13.5703125" style="15" hidden="1" customWidth="1" outlineLevel="1"/>
    <col min="6" max="6" width="24" style="15" hidden="1" customWidth="1" outlineLevel="1"/>
    <col min="7" max="7" width="9.85546875" style="15" hidden="1" customWidth="1" outlineLevel="1"/>
    <col min="8" max="9" width="9.42578125" style="15" hidden="1" customWidth="1" outlineLevel="1"/>
    <col min="10" max="10" width="10.28515625" style="15" hidden="1" customWidth="1" outlineLevel="1"/>
    <col min="11" max="11" width="12.85546875" style="15" hidden="1" customWidth="1" outlineLevel="1"/>
    <col min="12" max="12" width="44.140625" style="16" customWidth="1" collapsed="1"/>
    <col min="13" max="13" width="13.42578125" style="17" customWidth="1"/>
    <col min="14" max="14" width="18.42578125" customWidth="1"/>
    <col min="15" max="15" width="51.7109375" customWidth="1"/>
  </cols>
  <sheetData>
    <row r="1" spans="1:15" ht="15.75" thickBot="1"/>
    <row r="2" spans="1:15" ht="33" thickTop="1" thickBot="1">
      <c r="C2" s="231" t="s">
        <v>987</v>
      </c>
      <c r="D2" s="232"/>
      <c r="E2" s="232"/>
      <c r="F2" s="232"/>
      <c r="G2" s="232"/>
      <c r="H2" s="232"/>
      <c r="I2" s="232"/>
      <c r="J2" s="232"/>
      <c r="K2" s="232"/>
      <c r="L2" s="232"/>
      <c r="M2" s="232"/>
      <c r="N2" s="232"/>
      <c r="O2" s="233"/>
    </row>
    <row r="3" spans="1:15" ht="7.5" customHeight="1" thickTop="1" thickBot="1">
      <c r="C3"/>
      <c r="D3"/>
      <c r="E3" s="69"/>
      <c r="F3" s="69"/>
      <c r="G3" s="69"/>
      <c r="H3" s="69"/>
      <c r="I3" s="69"/>
      <c r="J3" s="69"/>
      <c r="K3" s="69"/>
      <c r="L3"/>
      <c r="M3"/>
    </row>
    <row r="4" spans="1:15" ht="32.25" outlineLevel="1" thickBot="1">
      <c r="A4" s="1"/>
      <c r="B4" s="74"/>
      <c r="C4" s="58" t="s">
        <v>988</v>
      </c>
      <c r="D4" s="67" t="s">
        <v>910</v>
      </c>
      <c r="E4" s="96"/>
      <c r="F4" s="2"/>
      <c r="G4" s="2"/>
      <c r="H4" s="2"/>
      <c r="I4" s="2"/>
      <c r="J4" s="2"/>
      <c r="K4" s="2"/>
      <c r="L4" s="3"/>
      <c r="M4" s="248"/>
      <c r="N4" s="4"/>
      <c r="O4" s="74"/>
    </row>
    <row r="5" spans="1:15" ht="32.25" outlineLevel="1" thickBot="1">
      <c r="A5" s="1"/>
      <c r="B5" s="74"/>
      <c r="C5" s="63" t="s">
        <v>989</v>
      </c>
      <c r="D5" s="98" t="s">
        <v>990</v>
      </c>
      <c r="E5" s="249"/>
      <c r="F5" s="249"/>
      <c r="G5" s="249"/>
      <c r="H5" s="249"/>
      <c r="I5" s="249"/>
      <c r="J5" s="249"/>
      <c r="K5" s="249"/>
      <c r="L5" s="3"/>
      <c r="M5" s="248"/>
      <c r="N5" s="74"/>
      <c r="O5" s="74"/>
    </row>
    <row r="6" spans="1:15" s="73" customFormat="1" ht="45.75" outlineLevel="1" thickBot="1">
      <c r="A6" s="74"/>
      <c r="B6" s="74"/>
      <c r="C6" s="63" t="s">
        <v>991</v>
      </c>
      <c r="D6" s="100" t="s">
        <v>992</v>
      </c>
      <c r="E6" s="249"/>
      <c r="F6" s="249"/>
      <c r="G6" s="249"/>
      <c r="H6" s="249"/>
      <c r="I6" s="249"/>
      <c r="J6" s="249"/>
      <c r="K6" s="249"/>
      <c r="L6" s="3"/>
      <c r="M6" s="248"/>
      <c r="N6" s="74"/>
      <c r="O6" s="74"/>
    </row>
    <row r="7" spans="1:15" s="73" customFormat="1" ht="60.75" outlineLevel="1" thickBot="1">
      <c r="A7" s="74"/>
      <c r="B7" s="74"/>
      <c r="C7" s="63" t="s">
        <v>993</v>
      </c>
      <c r="D7" s="101" t="s">
        <v>994</v>
      </c>
      <c r="E7" s="249"/>
      <c r="F7" s="249"/>
      <c r="G7" s="249"/>
      <c r="H7" s="249"/>
      <c r="I7" s="249"/>
      <c r="J7" s="249"/>
      <c r="K7" s="249"/>
      <c r="L7" s="3"/>
      <c r="M7" s="248"/>
      <c r="N7" s="74"/>
      <c r="O7" s="74"/>
    </row>
    <row r="8" spans="1:15" s="73" customFormat="1" ht="46.5" customHeight="1" outlineLevel="1" thickBot="1">
      <c r="A8" s="74"/>
      <c r="B8" s="74"/>
      <c r="C8" s="58" t="s">
        <v>995</v>
      </c>
      <c r="D8" s="236" t="s">
        <v>996</v>
      </c>
      <c r="E8" s="237"/>
      <c r="F8" s="237"/>
      <c r="G8" s="237"/>
      <c r="H8" s="237"/>
      <c r="I8" s="237"/>
      <c r="J8" s="237"/>
      <c r="K8" s="237"/>
      <c r="L8" s="237"/>
      <c r="M8" s="237"/>
      <c r="N8" s="237"/>
      <c r="O8" s="238"/>
    </row>
    <row r="9" spans="1:15" s="122" customFormat="1" ht="39" customHeight="1" outlineLevel="1" thickBot="1">
      <c r="A9" s="74"/>
      <c r="B9" s="74"/>
      <c r="C9" s="150" t="s">
        <v>997</v>
      </c>
      <c r="D9" s="236" t="s">
        <v>998</v>
      </c>
      <c r="E9" s="237"/>
      <c r="F9" s="237"/>
      <c r="G9" s="237"/>
      <c r="H9" s="237"/>
      <c r="I9" s="237"/>
      <c r="J9" s="237"/>
      <c r="K9" s="237"/>
      <c r="L9" s="237"/>
      <c r="M9" s="237"/>
      <c r="N9" s="237"/>
      <c r="O9" s="238"/>
    </row>
    <row r="10" spans="1:15" s="73" customFormat="1" ht="15.75">
      <c r="A10" s="74"/>
      <c r="B10" s="74"/>
      <c r="C10" s="64"/>
      <c r="D10" s="102"/>
      <c r="E10" s="102"/>
      <c r="F10" s="102"/>
      <c r="G10" s="102"/>
      <c r="H10" s="102"/>
      <c r="I10" s="102"/>
      <c r="J10" s="102"/>
      <c r="K10" s="102"/>
      <c r="L10" s="102"/>
      <c r="M10" s="102"/>
      <c r="N10" s="102"/>
      <c r="O10" s="102"/>
    </row>
    <row r="11" spans="1:15" ht="31.5" customHeight="1" thickBot="1">
      <c r="A11" s="1"/>
      <c r="B11" s="74"/>
      <c r="C11" s="2"/>
      <c r="D11" s="2"/>
      <c r="E11" s="2"/>
      <c r="F11" s="2"/>
      <c r="G11" s="2"/>
      <c r="H11" s="2"/>
      <c r="I11" s="2"/>
      <c r="J11" s="2"/>
      <c r="K11" s="2"/>
      <c r="L11" s="3"/>
      <c r="M11" s="4"/>
      <c r="N11" s="1"/>
      <c r="O11" s="1"/>
    </row>
    <row r="12" spans="1:15" ht="51.75" thickBot="1">
      <c r="A12" s="21"/>
      <c r="B12" s="90" t="s">
        <v>999</v>
      </c>
      <c r="C12" s="84" t="s">
        <v>1000</v>
      </c>
      <c r="D12" s="131" t="s">
        <v>1001</v>
      </c>
      <c r="E12" s="93" t="s">
        <v>1002</v>
      </c>
      <c r="F12" s="20" t="s">
        <v>1003</v>
      </c>
      <c r="G12" s="20" t="s">
        <v>1004</v>
      </c>
      <c r="H12" s="20" t="s">
        <v>1005</v>
      </c>
      <c r="I12" s="20" t="s">
        <v>1006</v>
      </c>
      <c r="J12" s="20" t="s">
        <v>1007</v>
      </c>
      <c r="K12" s="20" t="s">
        <v>1008</v>
      </c>
      <c r="L12" s="59" t="s">
        <v>1009</v>
      </c>
      <c r="M12" s="60" t="s">
        <v>1010</v>
      </c>
      <c r="N12" s="61" t="s">
        <v>1011</v>
      </c>
      <c r="O12" s="62" t="s">
        <v>1012</v>
      </c>
    </row>
    <row r="13" spans="1:15" ht="51">
      <c r="A13" s="250" t="s">
        <v>1013</v>
      </c>
      <c r="B13" s="81" t="e">
        <f>IF(D13&lt;&gt;"",$D$5,"")</f>
        <v>#N/A</v>
      </c>
      <c r="C13" s="105" t="s">
        <v>1014</v>
      </c>
      <c r="D13" s="132" t="e">
        <f>IF(C13="","",INDEX(CharacterID!$A$3:$A$1000,MATCH(C15,CharacterID!$B$3:$B$1000,0)))</f>
        <v>#N/A</v>
      </c>
      <c r="E13" s="70" t="s">
        <v>1014</v>
      </c>
      <c r="F13" s="132" t="str">
        <f>IF(E13="","",IF(OR(E13="判定しない",E13="それ以外"),"*",INDEX(amiibo_DataList!$I$6:$I$1000,MATCH(E13,amiibo_DataList!$B$6:$B$1000,0))))</f>
        <v>0x00</v>
      </c>
      <c r="G13" s="18"/>
      <c r="H13" s="19"/>
      <c r="I13" s="19"/>
      <c r="J13" s="18"/>
      <c r="K13" s="79"/>
      <c r="L13" s="5" t="s">
        <v>1015</v>
      </c>
      <c r="M13" s="6" t="s">
        <v>1016</v>
      </c>
      <c r="N13" s="7" t="s">
        <v>1017</v>
      </c>
      <c r="O13" s="106"/>
    </row>
    <row r="14" spans="1:15" ht="80.25" customHeight="1">
      <c r="A14" s="68"/>
      <c r="B14" s="87" t="str">
        <f>IF(D14&lt;&gt;"",$D$5,"")</f>
        <v/>
      </c>
      <c r="C14" s="234" t="s">
        <v>1031</v>
      </c>
      <c r="D14" s="235"/>
      <c r="E14" s="235"/>
      <c r="F14" s="235"/>
      <c r="G14" s="88"/>
      <c r="H14" s="88"/>
      <c r="I14" s="88"/>
      <c r="J14" s="88"/>
      <c r="K14" s="89"/>
      <c r="L14" s="8" t="s">
        <v>1018</v>
      </c>
      <c r="M14" s="9" t="s">
        <v>1019</v>
      </c>
      <c r="N14" s="71" t="s">
        <v>0</v>
      </c>
      <c r="O14" s="107"/>
    </row>
    <row r="15" spans="1:15" ht="76.5">
      <c r="A15" s="68"/>
      <c r="B15" s="86" t="str">
        <f t="shared" ref="B15:B46" si="0">IF(C15&lt;&gt;"",$D$5,"")</f>
        <v>(The working title is acceptable.)</v>
      </c>
      <c r="C15" s="253" t="s">
        <v>25</v>
      </c>
      <c r="D15" s="76" t="e">
        <f>IF(C15="","",INDEX(CharacterID!$A$3:$A$1000,MATCH(C15,CharacterID!$B$3:$B$1000,0)))</f>
        <v>#N/A</v>
      </c>
      <c r="E15" s="252" t="s">
        <v>1027</v>
      </c>
      <c r="F15" s="77" t="str">
        <f>IF(E15="","",IF(OR(E15="判定しない",E15="それ以外"),"*",INDEX(amiibo_DataList!$I$6:$I$1000,MATCH(E15,amiibo_DataList!$B$6:$B$1000,0))))</f>
        <v>0x01</v>
      </c>
      <c r="G15" s="77"/>
      <c r="H15" s="76" t="str">
        <f>IF(G15="","",IF(G15="それ以外","*",INDEX(SeriesID!$A$2:$A$100,MATCH(G15,SeriesID!$B$2:$B$100,0))))</f>
        <v/>
      </c>
      <c r="I15" s="75"/>
      <c r="J15" s="76" t="str">
        <f>IF(I15="","",IF(I15="それ以外","*",INDEX(NFP_Type!$A$2:$A$100,MATCH(I15,NFP_Type!$B$2:$B$100,0))))</f>
        <v/>
      </c>
      <c r="K15" s="80"/>
      <c r="L15" s="10" t="s">
        <v>1020</v>
      </c>
      <c r="M15" s="11" t="s">
        <v>1016</v>
      </c>
      <c r="N15" s="12" t="s">
        <v>1021</v>
      </c>
      <c r="O15" s="108"/>
    </row>
    <row r="16" spans="1:15" s="122" customFormat="1" ht="76.5">
      <c r="A16" s="68"/>
      <c r="B16" s="86"/>
      <c r="C16" s="253" t="s">
        <v>25</v>
      </c>
      <c r="D16" s="76" t="e">
        <f>IF(C16="","",INDEX(CharacterID!$A$3:$A$1000,MATCH(C15,CharacterID!$B$3:$B$1000,0)))</f>
        <v>#N/A</v>
      </c>
      <c r="E16" s="252" t="s">
        <v>1026</v>
      </c>
      <c r="F16" s="77" t="e">
        <f>IF(E16="","",IF(OR(E16="判定しない",E16="それ以外"),"*",INDEX(amiibo_DataList!$I$6:$I$1000,MATCH(E16,amiibo_DataList!$B$6:$B$1000,0))))</f>
        <v>#N/A</v>
      </c>
      <c r="G16" s="77"/>
      <c r="H16" s="76" t="str">
        <f>IF(G16="","",IF(G16="それ以外","*",INDEX(SeriesID!$A$2:$A$100,MATCH(G16,SeriesID!$B$2:$B$100,0))))</f>
        <v/>
      </c>
      <c r="I16" s="75"/>
      <c r="J16" s="76" t="str">
        <f>IF(I16="","",IF(I16="それ以外","*",INDEX(NFP_Type!$A$2:$A$100,MATCH(I16,NFP_Type!$B$2:$B$100,0))))</f>
        <v/>
      </c>
      <c r="K16" s="80"/>
      <c r="L16" s="10" t="s">
        <v>1020</v>
      </c>
      <c r="M16" s="11" t="s">
        <v>1016</v>
      </c>
      <c r="N16" s="12" t="s">
        <v>1021</v>
      </c>
      <c r="O16" s="108"/>
    </row>
    <row r="17" spans="1:15" ht="76.5">
      <c r="A17" s="68"/>
      <c r="B17" s="86" t="str">
        <f t="shared" si="0"/>
        <v>(The working title is acceptable.)</v>
      </c>
      <c r="C17" s="253" t="s">
        <v>1032</v>
      </c>
      <c r="D17" s="76" t="e">
        <f>IF(C17="","",INDEX(CharacterID!$A$3:$A$1000,MATCH(C15,CharacterID!$B$3:$B$1000,0)))</f>
        <v>#N/A</v>
      </c>
      <c r="E17" s="252" t="s">
        <v>1028</v>
      </c>
      <c r="F17" s="77" t="e">
        <f>IF(E17="","",IF(OR(E17="判定しない",E17="それ以外"),"*",INDEX(amiibo_DataList!$I$6:$I$1000,MATCH(E17,amiibo_DataList!$B$6:$B$1000,0))))</f>
        <v>#N/A</v>
      </c>
      <c r="G17" s="77"/>
      <c r="H17" s="76" t="str">
        <f>IF(G17="","",IF(G17="それ以外","*",INDEX(SeriesID!$A$2:$A$100,MATCH(G17,SeriesID!$B$2:$B$100,0))))</f>
        <v/>
      </c>
      <c r="I17" s="75"/>
      <c r="J17" s="76" t="str">
        <f>IF(I17="","",IF(I17="それ以外","*",INDEX(NFP_Type!$A$2:$A$100,MATCH(I17,NFP_Type!$B$2:$B$100,0))))</f>
        <v/>
      </c>
      <c r="K17" s="80"/>
      <c r="L17" s="10" t="s">
        <v>1022</v>
      </c>
      <c r="M17" s="11" t="s">
        <v>1016</v>
      </c>
      <c r="N17" s="12" t="s">
        <v>1021</v>
      </c>
      <c r="O17" s="109"/>
    </row>
    <row r="18" spans="1:15" ht="45">
      <c r="A18" s="68"/>
      <c r="B18" s="86" t="str">
        <f t="shared" si="0"/>
        <v>(The working title is acceptable.)</v>
      </c>
      <c r="C18" s="253" t="s">
        <v>40</v>
      </c>
      <c r="D18" s="76" t="e">
        <f>IF(C18="","",INDEX(CharacterID!$A$3:$A$1000,MATCH(C15,CharacterID!$B$3:$B$1000,0)))</f>
        <v>#N/A</v>
      </c>
      <c r="E18" s="252" t="s">
        <v>1029</v>
      </c>
      <c r="F18" s="77" t="str">
        <f>IF(E18="","",IF(OR(E18="判定しない",E18="それ以外"),"*",INDEX(amiibo_DataList!$I$6:$I$1000,MATCH(E18,amiibo_DataList!$B$6:$B$1000,0))))</f>
        <v>0x00</v>
      </c>
      <c r="G18" s="251" t="s">
        <v>1024</v>
      </c>
      <c r="H18" s="76" t="e">
        <f>IF(G18="","",IF(G18="それ以外","*",INDEX(SeriesID!$A$2:$A$100,MATCH(G18,SeriesID!$B$2:$B$100,0))))</f>
        <v>#N/A</v>
      </c>
      <c r="I18" s="75"/>
      <c r="J18" s="76" t="str">
        <f>IF(I18="","",IF(I18="それ以外","*",INDEX(NFP_Type!$A$2:$A$100,MATCH(I18,NFP_Type!$B$2:$B$100,0))))</f>
        <v/>
      </c>
      <c r="K18" s="80"/>
      <c r="L18" s="10" t="s">
        <v>1023</v>
      </c>
      <c r="M18" s="11" t="s">
        <v>1019</v>
      </c>
      <c r="N18" s="12" t="s">
        <v>0</v>
      </c>
      <c r="O18" s="109"/>
    </row>
    <row r="19" spans="1:15" s="122" customFormat="1" ht="45">
      <c r="A19" s="68"/>
      <c r="B19" s="86"/>
      <c r="C19" s="253" t="s">
        <v>40</v>
      </c>
      <c r="D19" s="76" t="e">
        <f>IF(C19="","",INDEX(CharacterID!$A$3:$A$1000,MATCH(C15,CharacterID!$B$3:$B$1000,0)))</f>
        <v>#N/A</v>
      </c>
      <c r="E19" s="252" t="s">
        <v>1029</v>
      </c>
      <c r="F19" s="77" t="str">
        <f>IF(E19="","",IF(OR(E19="判定しない",E19="それ以外"),"*",INDEX(amiibo_DataList!$I$6:$I$1000,MATCH(E19,amiibo_DataList!$B$6:$B$1000,0))))</f>
        <v>0x00</v>
      </c>
      <c r="G19" s="251" t="s">
        <v>1025</v>
      </c>
      <c r="H19" s="76" t="e">
        <f>IF(G19="","",IF(G19="それ以外","*",INDEX(SeriesID!$A$2:$A$100,MATCH(G19,SeriesID!$B$2:$B$100,0))))</f>
        <v>#N/A</v>
      </c>
      <c r="I19" s="75"/>
      <c r="J19" s="76" t="str">
        <f>IF(I19="","",IF(I19="それ以外","*",INDEX(NFP_Type!$A$2:$A$100,MATCH(I19,NFP_Type!$B$2:$B$100,0))))</f>
        <v/>
      </c>
      <c r="K19" s="80"/>
      <c r="L19" s="10" t="s">
        <v>1023</v>
      </c>
      <c r="M19" s="11" t="s">
        <v>1019</v>
      </c>
      <c r="N19" s="12" t="s">
        <v>0</v>
      </c>
      <c r="O19" s="109"/>
    </row>
    <row r="20" spans="1:15" s="122" customFormat="1">
      <c r="A20" s="68"/>
      <c r="B20" s="86"/>
      <c r="C20" s="253" t="s">
        <v>40</v>
      </c>
      <c r="D20" s="76" t="e">
        <f>IF(C20="","",INDEX(CharacterID!$A$3:$A$1000,MATCH(C15,CharacterID!$B$3:$B$1000,0)))</f>
        <v>#N/A</v>
      </c>
      <c r="E20" s="252" t="s">
        <v>1029</v>
      </c>
      <c r="F20" s="77" t="str">
        <f>IF(E20="","",IF(OR(E20="判定しない",E20="それ以外"),"*",INDEX(amiibo_DataList!$I$6:$I$1000,MATCH(E20,amiibo_DataList!$B$6:$B$1000,0))))</f>
        <v>0x00</v>
      </c>
      <c r="G20" s="251" t="s">
        <v>1026</v>
      </c>
      <c r="H20" s="76" t="e">
        <f>IF(G20="","",IF(G20="それ以外","*",INDEX(SeriesID!$A$2:$A$100,MATCH(G20,SeriesID!$B$2:$B$100,0))))</f>
        <v>#N/A</v>
      </c>
      <c r="I20" s="75"/>
      <c r="J20" s="76" t="str">
        <f>IF(I20="","",IF(I20="それ以外","*",INDEX(NFP_Type!$A$2:$A$100,MATCH(I20,NFP_Type!$B$2:$B$100,0))))</f>
        <v/>
      </c>
      <c r="K20" s="80"/>
      <c r="L20" s="10" t="s">
        <v>1023</v>
      </c>
      <c r="M20" s="11" t="s">
        <v>1019</v>
      </c>
      <c r="N20" s="12" t="s">
        <v>0</v>
      </c>
      <c r="O20" s="109"/>
    </row>
    <row r="21" spans="1:15" ht="45">
      <c r="A21" s="68"/>
      <c r="B21" s="86" t="str">
        <f t="shared" si="0"/>
        <v>(The working title is acceptable.)</v>
      </c>
      <c r="C21" s="253" t="s">
        <v>1033</v>
      </c>
      <c r="D21" s="76" t="e">
        <f>IF(C21="","",INDEX(CharacterID!$A$3:$A$1000,MATCH(C15,CharacterID!$B$3:$B$1000,0)))</f>
        <v>#N/A</v>
      </c>
      <c r="E21" s="252" t="s">
        <v>1030</v>
      </c>
      <c r="F21" s="77" t="str">
        <f>IF(E21="","",IF(OR(E21="判定しない",E21="それ以外"),"*",INDEX(amiibo_DataList!$I$6:$I$1000,MATCH(E21,amiibo_DataList!$B$6:$B$1000,0))))</f>
        <v>0x00</v>
      </c>
      <c r="G21" s="77"/>
      <c r="H21" s="76" t="str">
        <f>IF(G21="","",IF(G21="それ以外","*",INDEX(SeriesID!$A$2:$A$100,MATCH(G21,SeriesID!$B$2:$B$100,0))))</f>
        <v/>
      </c>
      <c r="I21" s="75"/>
      <c r="J21" s="76" t="str">
        <f>IF(I21="","",IF(I21="それ以外","*",INDEX(NFP_Type!$A$2:$A$100,MATCH(I21,NFP_Type!$B$2:$B$100,0))))</f>
        <v/>
      </c>
      <c r="K21" s="80">
        <v>46</v>
      </c>
      <c r="L21" s="10" t="s">
        <v>1023</v>
      </c>
      <c r="M21" s="11" t="s">
        <v>1019</v>
      </c>
      <c r="N21" s="12" t="s">
        <v>0</v>
      </c>
      <c r="O21" s="109"/>
    </row>
    <row r="22" spans="1:15" ht="45">
      <c r="A22" s="68"/>
      <c r="B22" s="254" t="str">
        <f t="shared" si="0"/>
        <v>(The working title is acceptable.)</v>
      </c>
      <c r="C22" s="253" t="s">
        <v>1033</v>
      </c>
      <c r="D22" s="76" t="e">
        <f>IF(C22="","",INDEX(CharacterID!$A$3:$A$1000,MATCH(C15,CharacterID!$B$3:$B$1000,0)))</f>
        <v>#N/A</v>
      </c>
      <c r="E22" s="252" t="s">
        <v>1030</v>
      </c>
      <c r="F22" s="77" t="str">
        <f>IF(E22="","",IF(OR(E22="判定しない",E22="それ以外"),"*",INDEX(amiibo_DataList!$I$6:$I$1000,MATCH(E22,amiibo_DataList!$B$6:$B$1000,0))))</f>
        <v>0x00</v>
      </c>
      <c r="G22" s="77"/>
      <c r="H22" s="76" t="str">
        <f>IF(G22="","",IF(G22="それ以外","*",INDEX(SeriesID!$A$2:$A$100,MATCH(G22,SeriesID!$B$2:$B$100,0))))</f>
        <v/>
      </c>
      <c r="I22" s="75"/>
      <c r="J22" s="76" t="str">
        <f>IF(I22="","",IF(I22="それ以外","*",INDEX(NFP_Type!$A$2:$A$100,MATCH(I22,NFP_Type!$B$2:$B$100,0))))</f>
        <v/>
      </c>
      <c r="K22" s="80">
        <v>51</v>
      </c>
      <c r="L22" s="10" t="s">
        <v>1023</v>
      </c>
      <c r="M22" s="11" t="s">
        <v>1019</v>
      </c>
      <c r="N22" s="12" t="s">
        <v>0</v>
      </c>
      <c r="O22" s="109"/>
    </row>
    <row r="23" spans="1:15">
      <c r="A23" s="68"/>
      <c r="B23" s="82" t="str">
        <f t="shared" si="0"/>
        <v/>
      </c>
      <c r="C23" s="85"/>
      <c r="D23" s="76" t="str">
        <f>IF(C23="","",INDEX(CharacterID!$A$3:$A$1000,MATCH(C15,CharacterID!$B$3:$B$1000,0)))</f>
        <v/>
      </c>
      <c r="E23" s="72"/>
      <c r="F23" s="77" t="str">
        <f>IF(E23="","",IF(OR(E23="判定しない",E23="それ以外"),"*",INDEX(amiibo_DataList!$I$6:$I$1000,MATCH(E23,amiibo_DataList!$B$6:$B$1000,0))))</f>
        <v/>
      </c>
      <c r="G23" s="77"/>
      <c r="H23" s="76" t="str">
        <f>IF(G23="","",IF(G23="それ以外","*",INDEX(SeriesID!$A$2:$A$100,MATCH(G23,SeriesID!$B$2:$B$100,0))))</f>
        <v/>
      </c>
      <c r="I23" s="75"/>
      <c r="J23" s="76" t="str">
        <f>IF(I23="","",IF(I23="それ以外","*",INDEX(NFP_Type!$A$2:$A$100,MATCH(I23,NFP_Type!$B$2:$B$100,0))))</f>
        <v/>
      </c>
      <c r="K23" s="80"/>
      <c r="L23" s="10"/>
      <c r="M23" s="11"/>
      <c r="N23" s="12"/>
      <c r="O23" s="109"/>
    </row>
    <row r="24" spans="1:15">
      <c r="A24" s="68"/>
      <c r="B24" s="82" t="str">
        <f t="shared" si="0"/>
        <v/>
      </c>
      <c r="C24" s="85"/>
      <c r="D24" s="76" t="str">
        <f>IF(C24="","",INDEX(CharacterID!$A$3:$A$1000,MATCH(C15,CharacterID!$B$3:$B$1000,0)))</f>
        <v/>
      </c>
      <c r="E24" s="72"/>
      <c r="F24" s="77" t="str">
        <f>IF(E24="","",IF(OR(E24="判定しない",E24="それ以外"),"*",INDEX(amiibo_DataList!$I$6:$I$1000,MATCH(E24,amiibo_DataList!$B$6:$B$1000,0))))</f>
        <v/>
      </c>
      <c r="G24" s="77"/>
      <c r="H24" s="76" t="str">
        <f>IF(G24="","",IF(G24="それ以外","*",INDEX(SeriesID!$A$2:$A$100,MATCH(G24,SeriesID!$B$2:$B$100,0))))</f>
        <v/>
      </c>
      <c r="I24" s="75"/>
      <c r="J24" s="76" t="str">
        <f>IF(I24="","",IF(I24="それ以外","*",INDEX(NFP_Type!$A$2:$A$100,MATCH(I24,NFP_Type!$B$2:$B$100,0))))</f>
        <v/>
      </c>
      <c r="K24" s="80"/>
      <c r="L24" s="10"/>
      <c r="M24" s="11"/>
      <c r="N24" s="12"/>
      <c r="O24" s="109"/>
    </row>
    <row r="25" spans="1:15">
      <c r="A25" s="68"/>
      <c r="B25" s="82" t="str">
        <f t="shared" si="0"/>
        <v/>
      </c>
      <c r="C25" s="85"/>
      <c r="D25" s="76" t="str">
        <f>IF(C25="","",INDEX(CharacterID!$A$3:$A$1000,MATCH(C15,CharacterID!$B$3:$B$1000,0)))</f>
        <v/>
      </c>
      <c r="E25" s="72"/>
      <c r="F25" s="77" t="str">
        <f>IF(E25="","",IF(OR(E25="判定しない",E25="それ以外"),"*",INDEX(amiibo_DataList!$I$6:$I$1000,MATCH(E25,amiibo_DataList!$B$6:$B$1000,0))))</f>
        <v/>
      </c>
      <c r="G25" s="77"/>
      <c r="H25" s="76" t="str">
        <f>IF(G25="","",IF(G25="それ以外","*",INDEX(SeriesID!$A$2:$A$100,MATCH(G25,SeriesID!$B$2:$B$100,0))))</f>
        <v/>
      </c>
      <c r="I25" s="75"/>
      <c r="J25" s="76" t="str">
        <f>IF(I25="","",IF(I25="それ以外","*",INDEX(NFP_Type!$A$2:$A$100,MATCH(I25,NFP_Type!$B$2:$B$100,0))))</f>
        <v/>
      </c>
      <c r="K25" s="80"/>
      <c r="L25" s="10"/>
      <c r="M25" s="11"/>
      <c r="N25" s="12"/>
      <c r="O25" s="109"/>
    </row>
    <row r="26" spans="1:15">
      <c r="A26" s="68"/>
      <c r="B26" s="82" t="str">
        <f t="shared" si="0"/>
        <v/>
      </c>
      <c r="C26" s="85"/>
      <c r="D26" s="76" t="str">
        <f>IF(C26="","",INDEX(CharacterID!$A$3:$A$1000,MATCH(C15,CharacterID!$B$3:$B$1000,0)))</f>
        <v/>
      </c>
      <c r="E26" s="72"/>
      <c r="F26" s="77" t="str">
        <f>IF(E26="","",IF(OR(E26="判定しない",E26="それ以外"),"*",INDEX(amiibo_DataList!$I$6:$I$1000,MATCH(E26,amiibo_DataList!$B$6:$B$1000,0))))</f>
        <v/>
      </c>
      <c r="G26" s="77"/>
      <c r="H26" s="76" t="str">
        <f>IF(G26="","",IF(G26="それ以外","*",INDEX(SeriesID!$A$2:$A$100,MATCH(G26,SeriesID!$B$2:$B$100,0))))</f>
        <v/>
      </c>
      <c r="I26" s="75"/>
      <c r="J26" s="76" t="str">
        <f>IF(I26="","",IF(I26="それ以外","*",INDEX(NFP_Type!$A$2:$A$100,MATCH(I26,NFP_Type!$B$2:$B$100,0))))</f>
        <v/>
      </c>
      <c r="K26" s="80"/>
      <c r="L26" s="10"/>
      <c r="M26" s="11"/>
      <c r="N26" s="12"/>
      <c r="O26" s="109"/>
    </row>
    <row r="27" spans="1:15">
      <c r="A27" s="68"/>
      <c r="B27" s="82" t="str">
        <f t="shared" si="0"/>
        <v/>
      </c>
      <c r="C27" s="85"/>
      <c r="D27" s="76" t="str">
        <f>IF(C27="","",INDEX(CharacterID!$A$3:$A$1000,MATCH(C15,CharacterID!$B$3:$B$1000,0)))</f>
        <v/>
      </c>
      <c r="E27" s="72"/>
      <c r="F27" s="77" t="str">
        <f>IF(E27="","",IF(OR(E27="判定しない",E27="それ以外"),"*",INDEX(amiibo_DataList!$I$6:$I$1000,MATCH(E27,amiibo_DataList!$B$6:$B$1000,0))))</f>
        <v/>
      </c>
      <c r="G27" s="77"/>
      <c r="H27" s="76" t="str">
        <f>IF(G27="","",IF(G27="それ以外","*",INDEX(SeriesID!$A$2:$A$100,MATCH(G27,SeriesID!$B$2:$B$100,0))))</f>
        <v/>
      </c>
      <c r="I27" s="75"/>
      <c r="J27" s="76" t="str">
        <f>IF(I27="","",IF(I27="それ以外","*",INDEX(NFP_Type!$A$2:$A$100,MATCH(I27,NFP_Type!$B$2:$B$100,0))))</f>
        <v/>
      </c>
      <c r="K27" s="80"/>
      <c r="L27" s="10"/>
      <c r="M27" s="11"/>
      <c r="N27" s="12"/>
      <c r="O27" s="109"/>
    </row>
    <row r="28" spans="1:15">
      <c r="A28" s="68"/>
      <c r="B28" s="82" t="str">
        <f t="shared" si="0"/>
        <v/>
      </c>
      <c r="C28" s="85"/>
      <c r="D28" s="76" t="str">
        <f>IF(C28="","",INDEX(CharacterID!$A$3:$A$1000,MATCH(C15,CharacterID!$B$3:$B$1000,0)))</f>
        <v/>
      </c>
      <c r="E28" s="72"/>
      <c r="F28" s="77" t="str">
        <f>IF(E28="","",IF(OR(E28="判定しない",E28="それ以外"),"*",INDEX(amiibo_DataList!$I$6:$I$1000,MATCH(E28,amiibo_DataList!$B$6:$B$1000,0))))</f>
        <v/>
      </c>
      <c r="G28" s="77"/>
      <c r="H28" s="76" t="str">
        <f>IF(G28="","",IF(G28="それ以外","*",INDEX(SeriesID!$A$2:$A$100,MATCH(G28,SeriesID!$B$2:$B$100,0))))</f>
        <v/>
      </c>
      <c r="I28" s="75"/>
      <c r="J28" s="76" t="str">
        <f>IF(I28="","",IF(I28="それ以外","*",INDEX(NFP_Type!$A$2:$A$100,MATCH(I28,NFP_Type!$B$2:$B$100,0))))</f>
        <v/>
      </c>
      <c r="K28" s="80"/>
      <c r="L28" s="110"/>
      <c r="M28" s="11"/>
      <c r="N28" s="12"/>
      <c r="O28" s="109"/>
    </row>
    <row r="29" spans="1:15">
      <c r="A29" s="68"/>
      <c r="B29" s="82" t="str">
        <f t="shared" si="0"/>
        <v/>
      </c>
      <c r="C29" s="85"/>
      <c r="D29" s="76" t="str">
        <f>IF(C29="","",INDEX(CharacterID!$A$3:$A$1000,MATCH(C15,CharacterID!$B$3:$B$1000,0)))</f>
        <v/>
      </c>
      <c r="E29" s="72"/>
      <c r="F29" s="77" t="str">
        <f>IF(E29="","",IF(OR(E29="判定しない",E29="それ以外"),"*",INDEX(amiibo_DataList!$I$6:$I$1000,MATCH(E29,amiibo_DataList!$B$6:$B$1000,0))))</f>
        <v/>
      </c>
      <c r="G29" s="77"/>
      <c r="H29" s="76" t="str">
        <f>IF(G29="","",IF(G29="それ以外","*",INDEX(SeriesID!$A$2:$A$100,MATCH(G29,SeriesID!$B$2:$B$100,0))))</f>
        <v/>
      </c>
      <c r="I29" s="75"/>
      <c r="J29" s="76" t="str">
        <f>IF(I29="","",IF(I29="それ以外","*",INDEX(NFP_Type!$A$2:$A$100,MATCH(I29,NFP_Type!$B$2:$B$100,0))))</f>
        <v/>
      </c>
      <c r="K29" s="80"/>
      <c r="L29" s="22"/>
      <c r="M29" s="11"/>
      <c r="N29" s="12"/>
      <c r="O29" s="109"/>
    </row>
    <row r="30" spans="1:15">
      <c r="A30" s="68"/>
      <c r="B30" s="82" t="str">
        <f t="shared" si="0"/>
        <v/>
      </c>
      <c r="C30" s="85"/>
      <c r="D30" s="76" t="str">
        <f>IF(C30="","",INDEX(CharacterID!$A$3:$A$1000,MATCH(C15,CharacterID!$B$3:$B$1000,0)))</f>
        <v/>
      </c>
      <c r="E30" s="72"/>
      <c r="F30" s="77" t="str">
        <f>IF(E30="","",IF(OR(E30="判定しない",E30="それ以外"),"*",INDEX(amiibo_DataList!$I$6:$I$1000,MATCH(E30,amiibo_DataList!$B$6:$B$1000,0))))</f>
        <v/>
      </c>
      <c r="G30" s="77"/>
      <c r="H30" s="76" t="str">
        <f>IF(G30="","",IF(G30="それ以外","*",INDEX(SeriesID!$A$2:$A$100,MATCH(G30,SeriesID!$B$2:$B$100,0))))</f>
        <v/>
      </c>
      <c r="I30" s="75"/>
      <c r="J30" s="76" t="str">
        <f>IF(I30="","",IF(I30="それ以外","*",INDEX(NFP_Type!$A$2:$A$100,MATCH(I30,NFP_Type!$B$2:$B$100,0))))</f>
        <v/>
      </c>
      <c r="K30" s="80"/>
      <c r="L30" s="22"/>
      <c r="M30" s="11"/>
      <c r="N30" s="12"/>
      <c r="O30" s="109"/>
    </row>
    <row r="31" spans="1:15">
      <c r="A31" s="68"/>
      <c r="B31" s="82" t="str">
        <f t="shared" si="0"/>
        <v/>
      </c>
      <c r="C31" s="85"/>
      <c r="D31" s="76" t="str">
        <f>IF(C31="","",INDEX(CharacterID!$A$3:$A$1000,MATCH(C15,CharacterID!$B$3:$B$1000,0)))</f>
        <v/>
      </c>
      <c r="E31" s="72"/>
      <c r="F31" s="77" t="str">
        <f>IF(E31="","",IF(OR(E31="判定しない",E31="それ以外"),"*",INDEX(amiibo_DataList!$I$6:$I$1000,MATCH(E31,amiibo_DataList!$B$6:$B$1000,0))))</f>
        <v/>
      </c>
      <c r="G31" s="77"/>
      <c r="H31" s="76" t="str">
        <f>IF(G31="","",IF(G31="それ以外","*",INDEX(SeriesID!$A$2:$A$100,MATCH(G31,SeriesID!$B$2:$B$100,0))))</f>
        <v/>
      </c>
      <c r="I31" s="75"/>
      <c r="J31" s="76" t="str">
        <f>IF(I31="","",IF(I31="それ以外","*",INDEX(NFP_Type!$A$2:$A$100,MATCH(I31,NFP_Type!$B$2:$B$100,0))))</f>
        <v/>
      </c>
      <c r="K31" s="80"/>
      <c r="L31" s="22"/>
      <c r="M31" s="11"/>
      <c r="N31" s="12"/>
      <c r="O31" s="109"/>
    </row>
    <row r="32" spans="1:15">
      <c r="A32" s="68"/>
      <c r="B32" s="82" t="str">
        <f t="shared" si="0"/>
        <v/>
      </c>
      <c r="C32" s="85"/>
      <c r="D32" s="76" t="str">
        <f>IF(C32="","",INDEX(CharacterID!$A$3:$A$1000,MATCH(C15,CharacterID!$B$3:$B$1000,0)))</f>
        <v/>
      </c>
      <c r="E32" s="72"/>
      <c r="F32" s="77" t="str">
        <f>IF(E32="","",IF(OR(E32="判定しない",E32="それ以外"),"*",INDEX(amiibo_DataList!$I$6:$I$1000,MATCH(E32,amiibo_DataList!$B$6:$B$1000,0))))</f>
        <v/>
      </c>
      <c r="G32" s="77"/>
      <c r="H32" s="76" t="str">
        <f>IF(G32="","",IF(G32="それ以外","*",INDEX(SeriesID!$A$2:$A$100,MATCH(G32,SeriesID!$B$2:$B$100,0))))</f>
        <v/>
      </c>
      <c r="I32" s="75"/>
      <c r="J32" s="76" t="str">
        <f>IF(I32="","",IF(I32="それ以外","*",INDEX(NFP_Type!$A$2:$A$100,MATCH(I32,NFP_Type!$B$2:$B$100,0))))</f>
        <v/>
      </c>
      <c r="K32" s="80"/>
      <c r="L32" s="22"/>
      <c r="M32" s="11"/>
      <c r="N32" s="12"/>
      <c r="O32" s="109"/>
    </row>
    <row r="33" spans="1:15">
      <c r="A33" s="68"/>
      <c r="B33" s="82" t="str">
        <f t="shared" si="0"/>
        <v/>
      </c>
      <c r="C33" s="85"/>
      <c r="D33" s="76" t="str">
        <f>IF(C33="","",INDEX(CharacterID!$A$3:$A$1000,MATCH(C15,CharacterID!$B$3:$B$1000,0)))</f>
        <v/>
      </c>
      <c r="E33" s="72"/>
      <c r="F33" s="77" t="str">
        <f>IF(E33="","",IF(OR(E33="判定しない",E33="それ以外"),"*",INDEX(amiibo_DataList!$I$6:$I$1000,MATCH(E33,amiibo_DataList!$B$6:$B$1000,0))))</f>
        <v/>
      </c>
      <c r="G33" s="77"/>
      <c r="H33" s="76" t="str">
        <f>IF(G33="","",IF(G33="それ以外","*",INDEX(SeriesID!$A$2:$A$100,MATCH(G33,SeriesID!$B$2:$B$100,0))))</f>
        <v/>
      </c>
      <c r="I33" s="75"/>
      <c r="J33" s="76" t="str">
        <f>IF(I33="","",IF(I33="それ以外","*",INDEX(NFP_Type!$A$2:$A$100,MATCH(I33,NFP_Type!$B$2:$B$100,0))))</f>
        <v/>
      </c>
      <c r="K33" s="80"/>
      <c r="L33" s="23"/>
      <c r="M33" s="11"/>
      <c r="N33" s="12"/>
      <c r="O33" s="109"/>
    </row>
    <row r="34" spans="1:15">
      <c r="A34" s="68"/>
      <c r="B34" s="82" t="str">
        <f t="shared" si="0"/>
        <v/>
      </c>
      <c r="C34" s="85"/>
      <c r="D34" s="76" t="str">
        <f>IF(C34="","",INDEX(CharacterID!$A$3:$A$1000,MATCH(C15,CharacterID!$B$3:$B$1000,0)))</f>
        <v/>
      </c>
      <c r="E34" s="72"/>
      <c r="F34" s="77" t="str">
        <f>IF(E34="","",IF(OR(E34="判定しない",E34="それ以外"),"*",INDEX(amiibo_DataList!$I$6:$I$1000,MATCH(E34,amiibo_DataList!$B$6:$B$1000,0))))</f>
        <v/>
      </c>
      <c r="G34" s="77"/>
      <c r="H34" s="76" t="str">
        <f>IF(G34="","",IF(G34="それ以外","*",INDEX(SeriesID!$A$2:$A$100,MATCH(G34,SeriesID!$B$2:$B$100,0))))</f>
        <v/>
      </c>
      <c r="I34" s="75"/>
      <c r="J34" s="76" t="str">
        <f>IF(I34="","",IF(I34="それ以外","*",INDEX(NFP_Type!$A$2:$A$100,MATCH(I34,NFP_Type!$B$2:$B$100,0))))</f>
        <v/>
      </c>
      <c r="K34" s="80"/>
      <c r="L34" s="10"/>
      <c r="M34" s="11"/>
      <c r="N34" s="12"/>
      <c r="O34" s="109"/>
    </row>
    <row r="35" spans="1:15">
      <c r="A35" s="68"/>
      <c r="B35" s="82" t="str">
        <f t="shared" si="0"/>
        <v/>
      </c>
      <c r="C35" s="85"/>
      <c r="D35" s="76" t="str">
        <f>IF(C35="","",INDEX(CharacterID!$A$3:$A$1000,MATCH(C15,CharacterID!$B$3:$B$1000,0)))</f>
        <v/>
      </c>
      <c r="E35" s="72"/>
      <c r="F35" s="77" t="str">
        <f>IF(E35="","",IF(OR(E35="判定しない",E35="それ以外"),"*",INDEX(amiibo_DataList!$I$6:$I$1000,MATCH(E35,amiibo_DataList!$B$6:$B$1000,0))))</f>
        <v/>
      </c>
      <c r="G35" s="77"/>
      <c r="H35" s="76" t="str">
        <f>IF(G35="","",IF(G35="それ以外","*",INDEX(SeriesID!$A$2:$A$100,MATCH(G35,SeriesID!$B$2:$B$100,0))))</f>
        <v/>
      </c>
      <c r="I35" s="75"/>
      <c r="J35" s="76" t="str">
        <f>IF(I35="","",IF(I35="それ以外","*",INDEX(NFP_Type!$A$2:$A$100,MATCH(I35,NFP_Type!$B$2:$B$100,0))))</f>
        <v/>
      </c>
      <c r="K35" s="80"/>
      <c r="L35" s="10"/>
      <c r="M35" s="11"/>
      <c r="N35" s="12"/>
      <c r="O35" s="109"/>
    </row>
    <row r="36" spans="1:15">
      <c r="A36" s="68"/>
      <c r="B36" s="82" t="str">
        <f t="shared" si="0"/>
        <v/>
      </c>
      <c r="C36" s="85"/>
      <c r="D36" s="76" t="str">
        <f>IF(C36="","",INDEX(CharacterID!$A$3:$A$1000,MATCH(C15,CharacterID!$B$3:$B$1000,0)))</f>
        <v/>
      </c>
      <c r="E36" s="72"/>
      <c r="F36" s="77" t="str">
        <f>IF(E36="","",IF(OR(E36="判定しない",E36="それ以外"),"*",INDEX(amiibo_DataList!$I$6:$I$1000,MATCH(E36,amiibo_DataList!$B$6:$B$1000,0))))</f>
        <v/>
      </c>
      <c r="G36" s="77"/>
      <c r="H36" s="76" t="str">
        <f>IF(G36="","",IF(G36="それ以外","*",INDEX(SeriesID!$A$2:$A$100,MATCH(G36,SeriesID!$B$2:$B$100,0))))</f>
        <v/>
      </c>
      <c r="I36" s="75"/>
      <c r="J36" s="76" t="str">
        <f>IF(I36="","",IF(I36="それ以外","*",INDEX(NFP_Type!$A$2:$A$100,MATCH(I36,NFP_Type!$B$2:$B$100,0))))</f>
        <v/>
      </c>
      <c r="K36" s="80"/>
      <c r="L36" s="10"/>
      <c r="M36" s="11"/>
      <c r="N36" s="12"/>
      <c r="O36" s="109"/>
    </row>
    <row r="37" spans="1:15">
      <c r="A37" s="68"/>
      <c r="B37" s="82" t="str">
        <f t="shared" si="0"/>
        <v/>
      </c>
      <c r="C37" s="85"/>
      <c r="D37" s="76" t="str">
        <f>IF(C37="","",INDEX(CharacterID!$A$3:$A$1000,MATCH(C15,CharacterID!$B$3:$B$1000,0)))</f>
        <v/>
      </c>
      <c r="E37" s="72"/>
      <c r="F37" s="77" t="str">
        <f>IF(E37="","",IF(OR(E37="判定しない",E37="それ以外"),"*",INDEX(amiibo_DataList!$I$6:$I$1000,MATCH(E37,amiibo_DataList!$B$6:$B$1000,0))))</f>
        <v/>
      </c>
      <c r="G37" s="77"/>
      <c r="H37" s="76" t="str">
        <f>IF(G37="","",IF(G37="それ以外","*",INDEX(SeriesID!$A$2:$A$100,MATCH(G37,SeriesID!$B$2:$B$100,0))))</f>
        <v/>
      </c>
      <c r="I37" s="75"/>
      <c r="J37" s="76" t="str">
        <f>IF(I37="","",IF(I37="それ以外","*",INDEX(NFP_Type!$A$2:$A$100,MATCH(I37,NFP_Type!$B$2:$B$100,0))))</f>
        <v/>
      </c>
      <c r="K37" s="80"/>
      <c r="L37" s="10"/>
      <c r="M37" s="11"/>
      <c r="N37" s="12"/>
      <c r="O37" s="109"/>
    </row>
    <row r="38" spans="1:15">
      <c r="A38" s="68"/>
      <c r="B38" s="82" t="str">
        <f t="shared" si="0"/>
        <v/>
      </c>
      <c r="C38" s="85"/>
      <c r="D38" s="76" t="str">
        <f>IF(C38="","",INDEX(CharacterID!$A$3:$A$1000,MATCH(C15,CharacterID!$B$3:$B$1000,0)))</f>
        <v/>
      </c>
      <c r="E38" s="72"/>
      <c r="F38" s="77" t="str">
        <f>IF(E38="","",IF(OR(E38="判定しない",E38="それ以外"),"*",INDEX(amiibo_DataList!$I$6:$I$1000,MATCH(E38,amiibo_DataList!$B$6:$B$1000,0))))</f>
        <v/>
      </c>
      <c r="G38" s="77"/>
      <c r="H38" s="76" t="str">
        <f>IF(G38="","",IF(G38="それ以外","*",INDEX(SeriesID!$A$2:$A$100,MATCH(G38,SeriesID!$B$2:$B$100,0))))</f>
        <v/>
      </c>
      <c r="I38" s="75"/>
      <c r="J38" s="76" t="str">
        <f>IF(I38="","",IF(I38="それ以外","*",INDEX(NFP_Type!$A$2:$A$100,MATCH(I38,NFP_Type!$B$2:$B$100,0))))</f>
        <v/>
      </c>
      <c r="K38" s="80"/>
      <c r="L38" s="10"/>
      <c r="M38" s="11"/>
      <c r="N38" s="12"/>
      <c r="O38" s="109"/>
    </row>
    <row r="39" spans="1:15">
      <c r="A39" s="69"/>
      <c r="B39" s="83" t="str">
        <f t="shared" si="0"/>
        <v/>
      </c>
      <c r="C39" s="85"/>
      <c r="D39" s="76" t="str">
        <f>IF(C39="","",INDEX(CharacterID!$A$3:$A$1000,MATCH(C15,CharacterID!$B$3:$B$1000,0)))</f>
        <v/>
      </c>
      <c r="E39" s="72"/>
      <c r="F39" s="77" t="str">
        <f>IF(E39="","",IF(OR(E39="判定しない",E39="それ以外"),"*",INDEX(amiibo_DataList!$I$6:$I$1000,MATCH(E39,amiibo_DataList!$B$6:$B$1000,0))))</f>
        <v/>
      </c>
      <c r="G39" s="77"/>
      <c r="H39" s="76" t="str">
        <f>IF(G39="","",IF(G39="それ以外","*",INDEX(SeriesID!$A$2:$A$100,MATCH(G39,SeriesID!$B$2:$B$100,0))))</f>
        <v/>
      </c>
      <c r="I39" s="75"/>
      <c r="J39" s="76" t="str">
        <f>IF(I39="","",IF(I39="それ以外","*",INDEX(NFP_Type!$A$2:$A$100,MATCH(I39,NFP_Type!$B$2:$B$100,0))))</f>
        <v/>
      </c>
      <c r="K39" s="80"/>
      <c r="L39" s="10"/>
      <c r="M39" s="11"/>
      <c r="N39" s="12"/>
      <c r="O39" s="109"/>
    </row>
    <row r="40" spans="1:15">
      <c r="A40" s="69"/>
      <c r="B40" s="83" t="str">
        <f t="shared" si="0"/>
        <v/>
      </c>
      <c r="C40" s="85"/>
      <c r="D40" s="76" t="str">
        <f>IF(C40="","",INDEX(CharacterID!$A$3:$A$1000,MATCH(C15,CharacterID!$B$3:$B$1000,0)))</f>
        <v/>
      </c>
      <c r="E40" s="72"/>
      <c r="F40" s="77" t="str">
        <f>IF(E40="","",IF(OR(E40="判定しない",E40="それ以外"),"*",INDEX(amiibo_DataList!$I$6:$I$1000,MATCH(E40,amiibo_DataList!$B$6:$B$1000,0))))</f>
        <v/>
      </c>
      <c r="G40" s="77"/>
      <c r="H40" s="76" t="str">
        <f>IF(G40="","",IF(G40="それ以外","*",INDEX(SeriesID!$A$2:$A$100,MATCH(G40,SeriesID!$B$2:$B$100,0))))</f>
        <v/>
      </c>
      <c r="I40" s="75"/>
      <c r="J40" s="76" t="str">
        <f>IF(I40="","",IF(I40="それ以外","*",INDEX(NFP_Type!$A$2:$A$100,MATCH(I40,NFP_Type!$B$2:$B$100,0))))</f>
        <v/>
      </c>
      <c r="K40" s="80"/>
      <c r="L40" s="10"/>
      <c r="M40" s="11"/>
      <c r="N40" s="12"/>
      <c r="O40" s="109"/>
    </row>
    <row r="41" spans="1:15">
      <c r="A41" s="69"/>
      <c r="B41" s="83" t="str">
        <f t="shared" si="0"/>
        <v/>
      </c>
      <c r="C41" s="85"/>
      <c r="D41" s="76" t="str">
        <f>IF(C41="","",INDEX(CharacterID!$A$3:$A$1000,MATCH(C15,CharacterID!$B$3:$B$1000,0)))</f>
        <v/>
      </c>
      <c r="E41" s="72"/>
      <c r="F41" s="77" t="str">
        <f>IF(E41="","",IF(OR(E41="判定しない",E41="それ以外"),"*",INDEX(amiibo_DataList!$I$6:$I$1000,MATCH(E41,amiibo_DataList!$B$6:$B$1000,0))))</f>
        <v/>
      </c>
      <c r="G41" s="77"/>
      <c r="H41" s="76" t="str">
        <f>IF(G41="","",IF(G41="それ以外","*",INDEX(SeriesID!$A$2:$A$100,MATCH(G41,SeriesID!$B$2:$B$100,0))))</f>
        <v/>
      </c>
      <c r="I41" s="75"/>
      <c r="J41" s="76" t="str">
        <f>IF(I41="","",IF(I41="それ以外","*",INDEX(NFP_Type!$A$2:$A$100,MATCH(I41,NFP_Type!$B$2:$B$100,0))))</f>
        <v/>
      </c>
      <c r="K41" s="80"/>
      <c r="L41" s="10"/>
      <c r="M41" s="11"/>
      <c r="N41" s="12"/>
      <c r="O41" s="109"/>
    </row>
    <row r="42" spans="1:15">
      <c r="A42" s="69"/>
      <c r="B42" s="83" t="str">
        <f t="shared" si="0"/>
        <v/>
      </c>
      <c r="C42" s="85"/>
      <c r="D42" s="76" t="str">
        <f>IF(C42="","",INDEX(CharacterID!$A$3:$A$1000,MATCH(C15,CharacterID!$B$3:$B$1000,0)))</f>
        <v/>
      </c>
      <c r="E42" s="72"/>
      <c r="F42" s="77" t="str">
        <f>IF(E42="","",IF(OR(E42="判定しない",E42="それ以外"),"*",INDEX(amiibo_DataList!$I$6:$I$1000,MATCH(E42,amiibo_DataList!$B$6:$B$1000,0))))</f>
        <v/>
      </c>
      <c r="G42" s="77"/>
      <c r="H42" s="76" t="str">
        <f>IF(G42="","",IF(G42="それ以外","*",INDEX(SeriesID!$A$2:$A$100,MATCH(G42,SeriesID!$B$2:$B$100,0))))</f>
        <v/>
      </c>
      <c r="I42" s="75"/>
      <c r="J42" s="76" t="str">
        <f>IF(I42="","",IF(I42="それ以外","*",INDEX(NFP_Type!$A$2:$A$100,MATCH(I42,NFP_Type!$B$2:$B$100,0))))</f>
        <v/>
      </c>
      <c r="K42" s="80"/>
      <c r="L42" s="10"/>
      <c r="M42" s="11"/>
      <c r="N42" s="12"/>
      <c r="O42" s="109"/>
    </row>
    <row r="43" spans="1:15">
      <c r="A43" s="69"/>
      <c r="B43" s="83" t="str">
        <f t="shared" si="0"/>
        <v/>
      </c>
      <c r="C43" s="85"/>
      <c r="D43" s="76" t="str">
        <f>IF(C43="","",INDEX(CharacterID!$A$3:$A$1000,MATCH(C15,CharacterID!$B$3:$B$1000,0)))</f>
        <v/>
      </c>
      <c r="E43" s="72"/>
      <c r="F43" s="77" t="str">
        <f>IF(E43="","",IF(OR(E43="判定しない",E43="それ以外"),"*",INDEX(amiibo_DataList!$I$6:$I$1000,MATCH(E43,amiibo_DataList!$B$6:$B$1000,0))))</f>
        <v/>
      </c>
      <c r="G43" s="77"/>
      <c r="H43" s="76" t="str">
        <f>IF(G43="","",IF(G43="それ以外","*",INDEX(SeriesID!$A$2:$A$100,MATCH(G43,SeriesID!$B$2:$B$100,0))))</f>
        <v/>
      </c>
      <c r="I43" s="75"/>
      <c r="J43" s="76" t="str">
        <f>IF(I43="","",IF(I43="それ以外","*",INDEX(NFP_Type!$A$2:$A$100,MATCH(I43,NFP_Type!$B$2:$B$100,0))))</f>
        <v/>
      </c>
      <c r="K43" s="80"/>
      <c r="L43" s="10"/>
      <c r="M43" s="11"/>
      <c r="N43" s="12"/>
      <c r="O43" s="109"/>
    </row>
    <row r="44" spans="1:15">
      <c r="A44" s="69"/>
      <c r="B44" s="83" t="str">
        <f t="shared" si="0"/>
        <v/>
      </c>
      <c r="C44" s="85"/>
      <c r="D44" s="76" t="str">
        <f>IF(C44="","",INDEX(CharacterID!$A$3:$A$1000,MATCH(C15,CharacterID!$B$3:$B$1000,0)))</f>
        <v/>
      </c>
      <c r="E44" s="72"/>
      <c r="F44" s="77" t="str">
        <f>IF(E44="","",IF(OR(E44="判定しない",E44="それ以外"),"*",INDEX(amiibo_DataList!$I$6:$I$1000,MATCH(E44,amiibo_DataList!$B$6:$B$1000,0))))</f>
        <v/>
      </c>
      <c r="G44" s="77"/>
      <c r="H44" s="76" t="str">
        <f>IF(G44="","",IF(G44="それ以外","*",INDEX(SeriesID!$A$2:$A$100,MATCH(G44,SeriesID!$B$2:$B$100,0))))</f>
        <v/>
      </c>
      <c r="I44" s="75"/>
      <c r="J44" s="76" t="str">
        <f>IF(I44="","",IF(I44="それ以外","*",INDEX(NFP_Type!$A$2:$A$100,MATCH(I44,NFP_Type!$B$2:$B$100,0))))</f>
        <v/>
      </c>
      <c r="K44" s="80"/>
      <c r="L44" s="10"/>
      <c r="M44" s="11"/>
      <c r="N44" s="12"/>
      <c r="O44" s="109"/>
    </row>
    <row r="45" spans="1:15">
      <c r="A45" s="69"/>
      <c r="B45" s="83" t="str">
        <f t="shared" si="0"/>
        <v/>
      </c>
      <c r="C45" s="85"/>
      <c r="D45" s="76" t="str">
        <f>IF(C45="","",INDEX(CharacterID!$A$3:$A$1000,MATCH(C15,CharacterID!$B$3:$B$1000,0)))</f>
        <v/>
      </c>
      <c r="E45" s="72"/>
      <c r="F45" s="77" t="str">
        <f>IF(E45="","",IF(OR(E45="判定しない",E45="それ以外"),"*",INDEX(amiibo_DataList!$I$6:$I$1000,MATCH(E45,amiibo_DataList!$B$6:$B$1000,0))))</f>
        <v/>
      </c>
      <c r="G45" s="77"/>
      <c r="H45" s="76" t="str">
        <f>IF(G45="","",IF(G45="それ以外","*",INDEX(SeriesID!$A$2:$A$100,MATCH(G45,SeriesID!$B$2:$B$100,0))))</f>
        <v/>
      </c>
      <c r="I45" s="75"/>
      <c r="J45" s="76" t="str">
        <f>IF(I45="","",IF(I45="それ以外","*",INDEX(NFP_Type!$A$2:$A$100,MATCH(I45,NFP_Type!$B$2:$B$100,0))))</f>
        <v/>
      </c>
      <c r="K45" s="80"/>
      <c r="L45" s="13"/>
      <c r="M45" s="11"/>
      <c r="N45" s="14"/>
      <c r="O45" s="109"/>
    </row>
    <row r="46" spans="1:15" ht="15.75" thickBot="1">
      <c r="A46" s="69"/>
      <c r="B46" s="83" t="str">
        <f t="shared" si="0"/>
        <v/>
      </c>
      <c r="C46" s="111"/>
      <c r="D46" s="112" t="str">
        <f>IF(C46="","",INDEX(CharacterID!$A$3:$A$1000,MATCH(C15,CharacterID!$B$3:$B$1000,0)))</f>
        <v/>
      </c>
      <c r="E46" s="113"/>
      <c r="F46" s="114" t="str">
        <f>IF(E46="","",IF(OR(E46="判定しない",E46="それ以外"),"*",INDEX(amiibo_DataList!$I$6:$I$1000,MATCH(E46,amiibo_DataList!$B$6:$B$1000,0))))</f>
        <v/>
      </c>
      <c r="G46" s="114"/>
      <c r="H46" s="112" t="str">
        <f>IF(G46="","",IF(G46="それ以外","*",INDEX(SeriesID!$A$2:$A$100,MATCH(G46,SeriesID!$B$2:$B$100,0))))</f>
        <v/>
      </c>
      <c r="I46" s="115"/>
      <c r="J46" s="112" t="str">
        <f>IF(I46="","",IF(I46="それ以外","*",INDEX(NFP_Type!$A$2:$A$100,MATCH(I46,NFP_Type!$B$2:$B$100,0))))</f>
        <v/>
      </c>
      <c r="K46" s="116"/>
      <c r="L46" s="117"/>
      <c r="M46" s="118"/>
      <c r="N46" s="119"/>
      <c r="O46" s="120"/>
    </row>
  </sheetData>
  <autoFilter ref="C12:O12" xr:uid="{00000000-0009-0000-0000-000001000000}"/>
  <mergeCells count="4">
    <mergeCell ref="C2:O2"/>
    <mergeCell ref="C14:F14"/>
    <mergeCell ref="D8:O8"/>
    <mergeCell ref="D9:O9"/>
  </mergeCells>
  <phoneticPr fontId="2"/>
  <conditionalFormatting sqref="B15:B46">
    <cfRule type="cellIs" dxfId="27" priority="33" operator="notEqual">
      <formula>""</formula>
    </cfRule>
  </conditionalFormatting>
  <conditionalFormatting sqref="B15:B46">
    <cfRule type="containsBlanks" dxfId="26" priority="29">
      <formula>LEN(TRIM(B15))=0</formula>
    </cfRule>
  </conditionalFormatting>
  <conditionalFormatting sqref="C23:C46 I15:I46 G15:G17 E23:E46 G21:G46">
    <cfRule type="cellIs" dxfId="25" priority="15" operator="notEqual">
      <formula>""</formula>
    </cfRule>
  </conditionalFormatting>
  <conditionalFormatting sqref="D15:D46 G15:K17 G21:K46 H18:K20">
    <cfRule type="cellIs" dxfId="24" priority="16" operator="notEqual">
      <formula>""</formula>
    </cfRule>
  </conditionalFormatting>
  <conditionalFormatting sqref="C23:C46 E23:E46">
    <cfRule type="cellIs" dxfId="23" priority="14" operator="equal">
      <formula>""</formula>
    </cfRule>
  </conditionalFormatting>
  <conditionalFormatting sqref="G15:K17 G21:K46 H18:K20">
    <cfRule type="cellIs" dxfId="22" priority="17" operator="notEqual">
      <formula>"*"</formula>
    </cfRule>
  </conditionalFormatting>
  <conditionalFormatting sqref="D15:D46 G15:K17 G21:K46 H18:K20">
    <cfRule type="containsBlanks" dxfId="21" priority="13">
      <formula>LEN(TRIM(D15))=0</formula>
    </cfRule>
  </conditionalFormatting>
  <conditionalFormatting sqref="F15:F46">
    <cfRule type="cellIs" dxfId="20" priority="12" operator="notEqual">
      <formula>""</formula>
    </cfRule>
  </conditionalFormatting>
  <conditionalFormatting sqref="F15:F46">
    <cfRule type="containsBlanks" dxfId="19" priority="11">
      <formula>LEN(TRIM(F15))=0</formula>
    </cfRule>
  </conditionalFormatting>
  <conditionalFormatting sqref="G18:G20">
    <cfRule type="cellIs" dxfId="9" priority="6" operator="notEqual">
      <formula>""</formula>
    </cfRule>
  </conditionalFormatting>
  <conditionalFormatting sqref="G18:G20">
    <cfRule type="cellIs" dxfId="8" priority="7" operator="notEqual">
      <formula>""</formula>
    </cfRule>
  </conditionalFormatting>
  <conditionalFormatting sqref="G18:G20">
    <cfRule type="cellIs" dxfId="7" priority="8" operator="notEqual">
      <formula>"*"</formula>
    </cfRule>
  </conditionalFormatting>
  <conditionalFormatting sqref="G18:G20">
    <cfRule type="containsBlanks" dxfId="6" priority="5">
      <formula>LEN(TRIM(G18))=0</formula>
    </cfRule>
  </conditionalFormatting>
  <conditionalFormatting sqref="E15:E22">
    <cfRule type="cellIs" dxfId="5" priority="4" operator="notEqual">
      <formula>""</formula>
    </cfRule>
  </conditionalFormatting>
  <conditionalFormatting sqref="E15:E22">
    <cfRule type="cellIs" dxfId="4" priority="3" operator="equal">
      <formula>""</formula>
    </cfRule>
  </conditionalFormatting>
  <conditionalFormatting sqref="C15:C22">
    <cfRule type="cellIs" dxfId="3" priority="2" operator="notEqual">
      <formula>""</formula>
    </cfRule>
  </conditionalFormatting>
  <conditionalFormatting sqref="C15:C22">
    <cfRule type="cellIs" dxfId="2" priority="1" operator="equal">
      <formula>""</formula>
    </cfRule>
  </conditionalFormatting>
  <dataValidations count="3">
    <dataValidation type="list" showInputMessage="1" errorTitle="ドロップダウンリストから選択してください" error="この欄には、ドロップダウンリストから「-」か「〇」を選んで入力してください。" sqref="M13:M46" xr:uid="{00000000-0002-0000-0100-000000000000}">
      <formula1>"○,×"</formula1>
    </dataValidation>
    <dataValidation allowBlank="1" showInputMessage="1" sqref="G13 I13" xr:uid="{00000000-0002-0000-0100-000001000000}"/>
    <dataValidation type="list" allowBlank="1" showInputMessage="1" sqref="C13 C15:C46" xr:uid="{00000000-0002-0000-0100-000003000000}">
      <formula1>#REF!</formula1>
    </dataValidation>
  </dataValidations>
  <pageMargins left="0.7" right="0.7" top="0.75" bottom="0.75" header="0.3" footer="0.3"/>
  <pageSetup paperSize="9" orientation="portrait" verticalDpi="1200" r:id="rId1"/>
  <legacyDrawing r:id="rId2"/>
  <extLst>
    <ext xmlns:x14="http://schemas.microsoft.com/office/spreadsheetml/2009/9/main" uri="{CCE6A557-97BC-4b89-ADB6-D9C93CAAB3DF}">
      <x14:dataValidations xmlns:xm="http://schemas.microsoft.com/office/excel/2006/main" count="3">
        <x14:dataValidation type="list" allowBlank="1" showInputMessage="1" xr:uid="{00000000-0002-0000-0100-000004000000}">
          <x14:formula1>
            <xm:f>SeriesID!$B$2:$B$100</xm:f>
          </x14:formula1>
          <xm:sqref>G15:G17 G21:G46</xm:sqref>
        </x14:dataValidation>
        <x14:dataValidation type="list" allowBlank="1" showInputMessage="1" xr:uid="{00000000-0002-0000-0100-000005000000}">
          <x14:formula1>
            <xm:f>NFP_Type!$B$2:$B$100</xm:f>
          </x14:formula1>
          <xm:sqref>I15:I46</xm:sqref>
        </x14:dataValidation>
        <x14:dataValidation type="list" xr:uid="{00000000-0002-0000-0100-000006000000}">
          <x14:formula1>
            <xm:f>INDIRECT(ADDRESS(5+MATCH(D23,amiibo_DataList!$G$6:$G$1000,0),2,1,1,"amiibo_DataList")&amp;":"&amp;SUBSTITUTE(ADDRESS(5+MATCH(D23,amiibo_DataList!$G$6:$G$1000,0)+COUNTIF(amiibo_DataList!$G$6:$G$1000,D23)-1,2,1,1,"amiibo_DataList"),"amiibo_DataList!",""))</xm:f>
          </x14:formula1>
          <xm:sqref>E23:E46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9" tint="0.39997558519241921"/>
  </sheetPr>
  <dimension ref="A1:O43"/>
  <sheetViews>
    <sheetView zoomScaleNormal="100" workbookViewId="0">
      <selection activeCell="P5" sqref="P5"/>
    </sheetView>
  </sheetViews>
  <sheetFormatPr defaultColWidth="9" defaultRowHeight="15" outlineLevelRow="1" outlineLevelCol="1"/>
  <cols>
    <col min="1" max="1" width="11.5703125" style="73" customWidth="1"/>
    <col min="2" max="2" width="9.28515625" style="73" hidden="1" customWidth="1" outlineLevel="1"/>
    <col min="3" max="3" width="14.85546875" style="15" customWidth="1" collapsed="1"/>
    <col min="4" max="4" width="20.5703125" style="15" customWidth="1"/>
    <col min="5" max="5" width="9.85546875" style="15" hidden="1" customWidth="1" outlineLevel="1"/>
    <col min="6" max="6" width="24" style="15" hidden="1" customWidth="1" outlineLevel="1"/>
    <col min="7" max="7" width="9.85546875" style="15" hidden="1" customWidth="1" outlineLevel="1"/>
    <col min="8" max="9" width="9.42578125" style="15" hidden="1" customWidth="1" outlineLevel="1"/>
    <col min="10" max="10" width="10.28515625" style="15" hidden="1" customWidth="1" outlineLevel="1"/>
    <col min="11" max="11" width="12.85546875" style="15" hidden="1" customWidth="1" outlineLevel="1"/>
    <col min="12" max="12" width="44.140625" style="16" customWidth="1" collapsed="1"/>
    <col min="13" max="13" width="13.42578125" style="17" customWidth="1"/>
    <col min="14" max="14" width="18.42578125" style="73" customWidth="1"/>
    <col min="15" max="15" width="51.7109375" style="73" customWidth="1"/>
    <col min="16" max="16384" width="9" style="73"/>
  </cols>
  <sheetData>
    <row r="1" spans="1:15" ht="15.75" thickBot="1"/>
    <row r="2" spans="1:15" ht="33" thickTop="1" thickBot="1">
      <c r="C2" s="231" t="s">
        <v>1034</v>
      </c>
      <c r="D2" s="232"/>
      <c r="E2" s="232"/>
      <c r="F2" s="232"/>
      <c r="G2" s="232"/>
      <c r="H2" s="232"/>
      <c r="I2" s="232"/>
      <c r="J2" s="232"/>
      <c r="K2" s="232"/>
      <c r="L2" s="232"/>
      <c r="M2" s="232"/>
      <c r="N2" s="232"/>
      <c r="O2" s="233"/>
    </row>
    <row r="3" spans="1:15" ht="7.5" customHeight="1" thickTop="1" thickBot="1">
      <c r="C3" s="73"/>
      <c r="D3" s="73"/>
      <c r="E3" s="69"/>
      <c r="F3" s="69"/>
      <c r="G3" s="69"/>
      <c r="H3" s="69"/>
      <c r="I3" s="69"/>
      <c r="J3" s="69"/>
      <c r="K3" s="69"/>
      <c r="L3" s="73"/>
      <c r="M3" s="73"/>
    </row>
    <row r="4" spans="1:15" ht="32.25" outlineLevel="1" thickBot="1">
      <c r="A4" s="74"/>
      <c r="B4" s="74"/>
      <c r="C4" s="58" t="s">
        <v>988</v>
      </c>
      <c r="D4" s="67"/>
      <c r="E4" s="96"/>
      <c r="F4" s="97"/>
      <c r="G4" s="97"/>
      <c r="H4" s="97"/>
      <c r="I4" s="97"/>
      <c r="J4" s="97"/>
      <c r="K4" s="97"/>
      <c r="L4" s="99"/>
      <c r="M4" s="64"/>
      <c r="N4" s="65"/>
      <c r="O4" s="74"/>
    </row>
    <row r="5" spans="1:15" ht="32.25" outlineLevel="1" thickBot="1">
      <c r="A5" s="74"/>
      <c r="B5" s="74"/>
      <c r="C5" s="63" t="s">
        <v>989</v>
      </c>
      <c r="D5" s="98"/>
      <c r="E5" s="24"/>
      <c r="F5" s="24"/>
      <c r="G5" s="24"/>
      <c r="H5" s="24"/>
      <c r="I5" s="24"/>
      <c r="J5" s="24"/>
      <c r="K5" s="24"/>
      <c r="L5" s="99"/>
      <c r="M5" s="64"/>
      <c r="N5" s="66"/>
      <c r="O5" s="74"/>
    </row>
    <row r="6" spans="1:15" ht="32.25" outlineLevel="1" thickBot="1">
      <c r="A6" s="74"/>
      <c r="B6" s="74"/>
      <c r="C6" s="63" t="s">
        <v>991</v>
      </c>
      <c r="D6" s="100"/>
      <c r="E6" s="24"/>
      <c r="F6" s="24"/>
      <c r="G6" s="24"/>
      <c r="H6" s="24"/>
      <c r="I6" s="24"/>
      <c r="J6" s="24"/>
      <c r="K6" s="24"/>
      <c r="L6" s="99"/>
      <c r="M6" s="64"/>
      <c r="N6" s="66"/>
      <c r="O6" s="74"/>
    </row>
    <row r="7" spans="1:15" ht="32.25" outlineLevel="1" thickBot="1">
      <c r="A7" s="74"/>
      <c r="B7" s="74"/>
      <c r="C7" s="63" t="s">
        <v>993</v>
      </c>
      <c r="D7" s="101"/>
      <c r="E7" s="24"/>
      <c r="F7" s="24"/>
      <c r="G7" s="24"/>
      <c r="H7" s="24"/>
      <c r="I7" s="24"/>
      <c r="J7" s="24"/>
      <c r="K7" s="24"/>
      <c r="L7" s="99"/>
      <c r="M7" s="64"/>
      <c r="N7" s="66"/>
      <c r="O7" s="74"/>
    </row>
    <row r="8" spans="1:15" ht="65.25" customHeight="1" outlineLevel="1" thickBot="1">
      <c r="A8" s="74"/>
      <c r="B8" s="74"/>
      <c r="C8" s="58" t="s">
        <v>995</v>
      </c>
      <c r="D8" s="236"/>
      <c r="E8" s="237"/>
      <c r="F8" s="237"/>
      <c r="G8" s="237"/>
      <c r="H8" s="237"/>
      <c r="I8" s="237"/>
      <c r="J8" s="237"/>
      <c r="K8" s="237"/>
      <c r="L8" s="237"/>
      <c r="M8" s="237"/>
      <c r="N8" s="237"/>
      <c r="O8" s="238"/>
    </row>
    <row r="9" spans="1:15" s="122" customFormat="1" ht="51.75" outlineLevel="1" thickBot="1">
      <c r="A9" s="74"/>
      <c r="B9" s="74"/>
      <c r="C9" s="150" t="s">
        <v>997</v>
      </c>
      <c r="D9" s="236"/>
      <c r="E9" s="237"/>
      <c r="F9" s="237"/>
      <c r="G9" s="237"/>
      <c r="H9" s="237"/>
      <c r="I9" s="237"/>
      <c r="J9" s="237"/>
      <c r="K9" s="237"/>
      <c r="L9" s="237"/>
      <c r="M9" s="237"/>
      <c r="N9" s="237"/>
      <c r="O9" s="238"/>
    </row>
    <row r="10" spans="1:15" ht="15.75">
      <c r="A10" s="74"/>
      <c r="B10" s="74"/>
      <c r="C10" s="64"/>
      <c r="D10" s="102"/>
      <c r="E10" s="102"/>
      <c r="F10" s="102"/>
      <c r="G10" s="102"/>
      <c r="H10" s="102"/>
      <c r="I10" s="102"/>
      <c r="J10" s="102"/>
      <c r="K10" s="102"/>
      <c r="L10" s="102"/>
      <c r="M10" s="102"/>
      <c r="N10" s="102"/>
      <c r="O10" s="102"/>
    </row>
    <row r="11" spans="1:15" ht="31.5" customHeight="1" thickBot="1">
      <c r="A11" s="74"/>
      <c r="B11" s="74"/>
      <c r="C11" s="2"/>
      <c r="D11" s="2"/>
      <c r="E11" s="2"/>
      <c r="F11" s="2"/>
      <c r="G11" s="2"/>
      <c r="H11" s="2"/>
      <c r="I11" s="2"/>
      <c r="J11" s="2"/>
      <c r="K11" s="2"/>
      <c r="L11" s="3"/>
      <c r="M11" s="4"/>
      <c r="N11" s="74"/>
      <c r="O11" s="74"/>
    </row>
    <row r="12" spans="1:15" ht="51.75" thickBot="1">
      <c r="A12" s="21"/>
      <c r="B12" s="90" t="s">
        <v>999</v>
      </c>
      <c r="C12" s="84" t="s">
        <v>1000</v>
      </c>
      <c r="D12" s="57" t="s">
        <v>1035</v>
      </c>
      <c r="E12" s="93" t="s">
        <v>1002</v>
      </c>
      <c r="F12" s="20" t="s">
        <v>1003</v>
      </c>
      <c r="G12" s="20" t="s">
        <v>1004</v>
      </c>
      <c r="H12" s="20" t="s">
        <v>1005</v>
      </c>
      <c r="I12" s="20" t="s">
        <v>1006</v>
      </c>
      <c r="J12" s="20" t="s">
        <v>1007</v>
      </c>
      <c r="K12" s="20" t="s">
        <v>1008</v>
      </c>
      <c r="L12" s="59" t="s">
        <v>1036</v>
      </c>
      <c r="M12" s="60" t="s">
        <v>1010</v>
      </c>
      <c r="N12" s="61" t="s">
        <v>970</v>
      </c>
      <c r="O12" s="62" t="s">
        <v>1012</v>
      </c>
    </row>
    <row r="13" spans="1:15" ht="51">
      <c r="A13" s="250" t="s">
        <v>1013</v>
      </c>
      <c r="B13" s="81">
        <f>IF(D13&lt;&gt;"",$D$5,"")</f>
        <v>0</v>
      </c>
      <c r="C13" s="105" t="s">
        <v>1014</v>
      </c>
      <c r="D13" s="104" t="s">
        <v>9</v>
      </c>
      <c r="E13" s="70" t="s">
        <v>1014</v>
      </c>
      <c r="F13" s="78" t="str">
        <f>IF(E13="","",IF(OR(E13="判定しない",E13="それ以外"),"*",INDEX(amiibo_DataList!$I$5:$I$65207,MATCH(E13,amiibo_DataList!$B$5:$B$65207,0))))</f>
        <v>0x00</v>
      </c>
      <c r="G13" s="18"/>
      <c r="H13" s="19"/>
      <c r="I13" s="19"/>
      <c r="J13" s="18"/>
      <c r="K13" s="79"/>
      <c r="L13" s="5" t="s">
        <v>1015</v>
      </c>
      <c r="M13" s="6" t="s">
        <v>1016</v>
      </c>
      <c r="N13" s="7" t="s">
        <v>1017</v>
      </c>
      <c r="O13" s="106"/>
    </row>
    <row r="14" spans="1:15" ht="80.25" customHeight="1">
      <c r="A14" s="68"/>
      <c r="B14" s="87" t="str">
        <f>IF(D14&lt;&gt;"",$D$5,"")</f>
        <v/>
      </c>
      <c r="C14" s="234" t="s">
        <v>1031</v>
      </c>
      <c r="D14" s="235"/>
      <c r="E14" s="235"/>
      <c r="F14" s="235"/>
      <c r="G14" s="88"/>
      <c r="H14" s="88"/>
      <c r="I14" s="88"/>
      <c r="J14" s="88"/>
      <c r="K14" s="89"/>
      <c r="L14" s="8"/>
      <c r="M14" s="9"/>
      <c r="N14" s="71"/>
      <c r="O14" s="107"/>
    </row>
    <row r="15" spans="1:15">
      <c r="A15" s="68"/>
      <c r="B15" s="86">
        <f t="shared" ref="B15:B43" si="0">IF(C15&lt;&gt;"",$D$5,"")</f>
        <v>0</v>
      </c>
      <c r="C15" s="253" t="s">
        <v>25</v>
      </c>
      <c r="D15" s="76" t="e">
        <f>IF(C15="","",INDEX(CharacterID!$A$3:$A$1000,MATCH(C15,CharacterID!$B$3:$B$1000,0)))</f>
        <v>#N/A</v>
      </c>
      <c r="E15" s="72"/>
      <c r="F15" s="77" t="str">
        <f>IF(E15="","",IF(OR(E15="判定しない",E15="それ以外"),"*",INDEX(amiibo_DataList!$I$6:$I$1000,MATCH(E15,amiibo_DataList!$B$6:$B$1000,0))))</f>
        <v/>
      </c>
      <c r="G15" s="77"/>
      <c r="H15" s="76" t="str">
        <f>IF(G15="","",IF(G15="それ以外","*",INDEX(SeriesID!$A$2:$A$100,MATCH(G15,SeriesID!$B$2:$B$100,0))))</f>
        <v/>
      </c>
      <c r="I15" s="75"/>
      <c r="J15" s="76" t="str">
        <f>IF(I15="","",IF(I15="それ以外","*",INDEX(NFP_Type!$A$2:$A$100,MATCH(I15,NFP_Type!$B$2:$B$100,0))))</f>
        <v/>
      </c>
      <c r="K15" s="80"/>
      <c r="L15" s="10"/>
      <c r="M15" s="11"/>
      <c r="N15" s="12"/>
      <c r="O15" s="108"/>
    </row>
    <row r="16" spans="1:15">
      <c r="A16" s="68"/>
      <c r="B16" s="86" t="str">
        <f t="shared" si="0"/>
        <v/>
      </c>
      <c r="C16" s="85"/>
      <c r="D16" s="76" t="str">
        <f>IF(C16="","",INDEX(CharacterID!$A$3:$A$1000,MATCH(C16,CharacterID!$B$3:$B$1000,0)))</f>
        <v/>
      </c>
      <c r="E16" s="72"/>
      <c r="F16" s="77" t="str">
        <f>IF(E16="","",IF(OR(E16="判定しない",E16="それ以外"),"*",INDEX(amiibo_DataList!$I$6:$I$1000,MATCH(E16,amiibo_DataList!$B$6:$B$1000,0))))</f>
        <v/>
      </c>
      <c r="G16" s="77"/>
      <c r="H16" s="76" t="str">
        <f>IF(G16="","",IF(G16="それ以外","*",INDEX(SeriesID!$A$2:$A$100,MATCH(G16,SeriesID!$B$2:$B$100,0))))</f>
        <v/>
      </c>
      <c r="I16" s="75"/>
      <c r="J16" s="76" t="str">
        <f>IF(I16="","",IF(I16="それ以外","*",INDEX(NFP_Type!$A$2:$A$100,MATCH(I16,NFP_Type!$B$2:$B$100,0))))</f>
        <v/>
      </c>
      <c r="K16" s="80"/>
      <c r="L16" s="10"/>
      <c r="M16" s="11"/>
      <c r="N16" s="12"/>
      <c r="O16" s="109"/>
    </row>
    <row r="17" spans="1:15">
      <c r="A17" s="68"/>
      <c r="B17" s="86" t="str">
        <f t="shared" si="0"/>
        <v/>
      </c>
      <c r="C17" s="85"/>
      <c r="D17" s="76" t="str">
        <f>IF(C17="","",INDEX(CharacterID!$A$3:$A$1000,MATCH(C17,CharacterID!$B$3:$B$1000,0)))</f>
        <v/>
      </c>
      <c r="E17" s="72"/>
      <c r="F17" s="77" t="str">
        <f>IF(E17="","",IF(OR(E17="判定しない",E17="それ以外"),"*",INDEX(amiibo_DataList!$I$6:$I$1000,MATCH(E17,amiibo_DataList!$B$6:$B$1000,0))))</f>
        <v/>
      </c>
      <c r="G17" s="77"/>
      <c r="H17" s="76" t="str">
        <f>IF(G17="","",IF(G17="それ以外","*",INDEX(SeriesID!$A$2:$A$100,MATCH(G17,SeriesID!$B$2:$B$100,0))))</f>
        <v/>
      </c>
      <c r="I17" s="75"/>
      <c r="J17" s="76" t="str">
        <f>IF(I17="","",IF(I17="それ以外","*",INDEX(NFP_Type!$A$2:$A$100,MATCH(I17,NFP_Type!$B$2:$B$100,0))))</f>
        <v/>
      </c>
      <c r="K17" s="80"/>
      <c r="L17" s="10"/>
      <c r="M17" s="11"/>
      <c r="N17" s="12"/>
      <c r="O17" s="109"/>
    </row>
    <row r="18" spans="1:15">
      <c r="A18" s="68"/>
      <c r="B18" s="86" t="str">
        <f t="shared" si="0"/>
        <v/>
      </c>
      <c r="C18" s="85"/>
      <c r="D18" s="76" t="str">
        <f>IF(C18="","",INDEX(CharacterID!$A$3:$A$1000,MATCH(C18,CharacterID!$B$3:$B$1000,0)))</f>
        <v/>
      </c>
      <c r="E18" s="72"/>
      <c r="F18" s="77" t="str">
        <f>IF(E18="","",IF(OR(E18="判定しない",E18="それ以外"),"*",INDEX(amiibo_DataList!$I$6:$I$1000,MATCH(E18,amiibo_DataList!$B$6:$B$1000,0))))</f>
        <v/>
      </c>
      <c r="G18" s="77"/>
      <c r="H18" s="76" t="str">
        <f>IF(G18="","",IF(G18="それ以外","*",INDEX(SeriesID!$A$2:$A$100,MATCH(G18,SeriesID!$B$2:$B$100,0))))</f>
        <v/>
      </c>
      <c r="I18" s="75"/>
      <c r="J18" s="76" t="str">
        <f>IF(I18="","",IF(I18="それ以外","*",INDEX(NFP_Type!$A$2:$A$100,MATCH(I18,NFP_Type!$B$2:$B$100,0))))</f>
        <v/>
      </c>
      <c r="K18" s="80"/>
      <c r="L18" s="10"/>
      <c r="M18" s="11"/>
      <c r="N18" s="12"/>
      <c r="O18" s="109"/>
    </row>
    <row r="19" spans="1:15">
      <c r="A19" s="68"/>
      <c r="B19" s="82" t="str">
        <f t="shared" si="0"/>
        <v/>
      </c>
      <c r="C19" s="85"/>
      <c r="D19" s="76" t="str">
        <f>IF(C19="","",INDEX(CharacterID!$A$3:$A$1000,MATCH(C19,CharacterID!$B$3:$B$1000,0)))</f>
        <v/>
      </c>
      <c r="E19" s="72"/>
      <c r="F19" s="77" t="str">
        <f>IF(E19="","",IF(OR(E19="判定しない",E19="それ以外"),"*",INDEX(amiibo_DataList!$I$6:$I$1000,MATCH(E19,amiibo_DataList!$B$6:$B$1000,0))))</f>
        <v/>
      </c>
      <c r="G19" s="77"/>
      <c r="H19" s="76" t="str">
        <f>IF(G19="","",IF(G19="それ以外","*",INDEX(SeriesID!$A$2:$A$100,MATCH(G19,SeriesID!$B$2:$B$100,0))))</f>
        <v/>
      </c>
      <c r="I19" s="75"/>
      <c r="J19" s="76" t="str">
        <f>IF(I19="","",IF(I19="それ以外","*",INDEX(NFP_Type!$A$2:$A$100,MATCH(I19,NFP_Type!$B$2:$B$100,0))))</f>
        <v/>
      </c>
      <c r="K19" s="80"/>
      <c r="L19" s="10"/>
      <c r="M19" s="11"/>
      <c r="N19" s="12"/>
      <c r="O19" s="109"/>
    </row>
    <row r="20" spans="1:15">
      <c r="A20" s="68"/>
      <c r="B20" s="82" t="str">
        <f t="shared" si="0"/>
        <v/>
      </c>
      <c r="C20" s="85"/>
      <c r="D20" s="76" t="str">
        <f>IF(C20="","",INDEX(CharacterID!$A$3:$A$1000,MATCH(C20,CharacterID!$B$3:$B$1000,0)))</f>
        <v/>
      </c>
      <c r="E20" s="72"/>
      <c r="F20" s="77" t="str">
        <f>IF(E20="","",IF(OR(E20="判定しない",E20="それ以外"),"*",INDEX(amiibo_DataList!$I$6:$I$1000,MATCH(E20,amiibo_DataList!$B$6:$B$1000,0))))</f>
        <v/>
      </c>
      <c r="G20" s="77"/>
      <c r="H20" s="76" t="str">
        <f>IF(G20="","",IF(G20="それ以外","*",INDEX(SeriesID!$A$2:$A$100,MATCH(G20,SeriesID!$B$2:$B$100,0))))</f>
        <v/>
      </c>
      <c r="I20" s="75"/>
      <c r="J20" s="76" t="str">
        <f>IF(I20="","",IF(I20="それ以外","*",INDEX(NFP_Type!$A$2:$A$100,MATCH(I20,NFP_Type!$B$2:$B$100,0))))</f>
        <v/>
      </c>
      <c r="K20" s="80"/>
      <c r="L20" s="10"/>
      <c r="M20" s="11"/>
      <c r="N20" s="12"/>
      <c r="O20" s="109"/>
    </row>
    <row r="21" spans="1:15">
      <c r="A21" s="68"/>
      <c r="B21" s="82" t="str">
        <f t="shared" si="0"/>
        <v/>
      </c>
      <c r="C21" s="85"/>
      <c r="D21" s="76" t="str">
        <f>IF(C21="","",INDEX(CharacterID!$A$3:$A$1000,MATCH(C21,CharacterID!$B$3:$B$1000,0)))</f>
        <v/>
      </c>
      <c r="E21" s="72"/>
      <c r="F21" s="77" t="str">
        <f>IF(E21="","",IF(OR(E21="判定しない",E21="それ以外"),"*",INDEX(amiibo_DataList!$I$6:$I$1000,MATCH(E21,amiibo_DataList!$B$6:$B$1000,0))))</f>
        <v/>
      </c>
      <c r="G21" s="77"/>
      <c r="H21" s="76" t="str">
        <f>IF(G21="","",IF(G21="それ以外","*",INDEX(SeriesID!$A$2:$A$100,MATCH(G21,SeriesID!$B$2:$B$100,0))))</f>
        <v/>
      </c>
      <c r="I21" s="75"/>
      <c r="J21" s="76" t="str">
        <f>IF(I21="","",IF(I21="それ以外","*",INDEX(NFP_Type!$A$2:$A$100,MATCH(I21,NFP_Type!$B$2:$B$100,0))))</f>
        <v/>
      </c>
      <c r="K21" s="80"/>
      <c r="L21" s="10"/>
      <c r="M21" s="11"/>
      <c r="N21" s="12"/>
      <c r="O21" s="109"/>
    </row>
    <row r="22" spans="1:15">
      <c r="A22" s="68"/>
      <c r="B22" s="82" t="str">
        <f t="shared" si="0"/>
        <v/>
      </c>
      <c r="C22" s="85"/>
      <c r="D22" s="76" t="str">
        <f>IF(C22="","",INDEX(CharacterID!$A$3:$A$1000,MATCH(C22,CharacterID!$B$3:$B$1000,0)))</f>
        <v/>
      </c>
      <c r="E22" s="72"/>
      <c r="F22" s="77" t="str">
        <f>IF(E22="","",IF(OR(E22="判定しない",E22="それ以外"),"*",INDEX(amiibo_DataList!$I$6:$I$1000,MATCH(E22,amiibo_DataList!$B$6:$B$1000,0))))</f>
        <v/>
      </c>
      <c r="G22" s="77"/>
      <c r="H22" s="76" t="str">
        <f>IF(G22="","",IF(G22="それ以外","*",INDEX(SeriesID!$A$2:$A$100,MATCH(G22,SeriesID!$B$2:$B$100,0))))</f>
        <v/>
      </c>
      <c r="I22" s="75"/>
      <c r="J22" s="76" t="str">
        <f>IF(I22="","",IF(I22="それ以外","*",INDEX(NFP_Type!$A$2:$A$100,MATCH(I22,NFP_Type!$B$2:$B$100,0))))</f>
        <v/>
      </c>
      <c r="K22" s="80"/>
      <c r="L22" s="10"/>
      <c r="M22" s="11"/>
      <c r="N22" s="12"/>
      <c r="O22" s="109"/>
    </row>
    <row r="23" spans="1:15">
      <c r="A23" s="68"/>
      <c r="B23" s="82" t="str">
        <f t="shared" si="0"/>
        <v/>
      </c>
      <c r="C23" s="85"/>
      <c r="D23" s="76" t="str">
        <f>IF(C23="","",INDEX(CharacterID!$A$3:$A$1000,MATCH(C23,CharacterID!$B$3:$B$1000,0)))</f>
        <v/>
      </c>
      <c r="E23" s="72"/>
      <c r="F23" s="77" t="str">
        <f>IF(E23="","",IF(OR(E23="判定しない",E23="それ以外"),"*",INDEX(amiibo_DataList!$I$6:$I$1000,MATCH(E23,amiibo_DataList!$B$6:$B$1000,0))))</f>
        <v/>
      </c>
      <c r="G23" s="77"/>
      <c r="H23" s="76" t="str">
        <f>IF(G23="","",IF(G23="それ以外","*",INDEX(SeriesID!$A$2:$A$100,MATCH(G23,SeriesID!$B$2:$B$100,0))))</f>
        <v/>
      </c>
      <c r="I23" s="75"/>
      <c r="J23" s="76" t="str">
        <f>IF(I23="","",IF(I23="それ以外","*",INDEX(NFP_Type!$A$2:$A$100,MATCH(I23,NFP_Type!$B$2:$B$100,0))))</f>
        <v/>
      </c>
      <c r="K23" s="80"/>
      <c r="L23" s="10"/>
      <c r="M23" s="11"/>
      <c r="N23" s="12"/>
      <c r="O23" s="109"/>
    </row>
    <row r="24" spans="1:15">
      <c r="A24" s="68"/>
      <c r="B24" s="82" t="str">
        <f t="shared" si="0"/>
        <v/>
      </c>
      <c r="C24" s="85"/>
      <c r="D24" s="76" t="str">
        <f>IF(C24="","",INDEX(CharacterID!$A$3:$A$1000,MATCH(C24,CharacterID!$B$3:$B$1000,0)))</f>
        <v/>
      </c>
      <c r="E24" s="72"/>
      <c r="F24" s="77" t="str">
        <f>IF(E24="","",IF(OR(E24="判定しない",E24="それ以外"),"*",INDEX(amiibo_DataList!$I$6:$I$1000,MATCH(E24,amiibo_DataList!$B$6:$B$1000,0))))</f>
        <v/>
      </c>
      <c r="G24" s="77"/>
      <c r="H24" s="76" t="str">
        <f>IF(G24="","",IF(G24="それ以外","*",INDEX(SeriesID!$A$2:$A$100,MATCH(G24,SeriesID!$B$2:$B$100,0))))</f>
        <v/>
      </c>
      <c r="I24" s="75"/>
      <c r="J24" s="76" t="str">
        <f>IF(I24="","",IF(I24="それ以外","*",INDEX(NFP_Type!$A$2:$A$100,MATCH(I24,NFP_Type!$B$2:$B$100,0))))</f>
        <v/>
      </c>
      <c r="K24" s="80"/>
      <c r="L24" s="10"/>
      <c r="M24" s="11"/>
      <c r="N24" s="12"/>
      <c r="O24" s="109"/>
    </row>
    <row r="25" spans="1:15">
      <c r="A25" s="68"/>
      <c r="B25" s="82" t="str">
        <f t="shared" si="0"/>
        <v/>
      </c>
      <c r="C25" s="85"/>
      <c r="D25" s="76" t="str">
        <f>IF(C25="","",INDEX(CharacterID!$A$3:$A$1000,MATCH(C25,CharacterID!$B$3:$B$1000,0)))</f>
        <v/>
      </c>
      <c r="E25" s="72"/>
      <c r="F25" s="77" t="str">
        <f>IF(E25="","",IF(OR(E25="判定しない",E25="それ以外"),"*",INDEX(amiibo_DataList!$I$6:$I$1000,MATCH(E25,amiibo_DataList!$B$6:$B$1000,0))))</f>
        <v/>
      </c>
      <c r="G25" s="77"/>
      <c r="H25" s="76" t="str">
        <f>IF(G25="","",IF(G25="それ以外","*",INDEX(SeriesID!$A$2:$A$100,MATCH(G25,SeriesID!$B$2:$B$100,0))))</f>
        <v/>
      </c>
      <c r="I25" s="75"/>
      <c r="J25" s="76" t="str">
        <f>IF(I25="","",IF(I25="それ以外","*",INDEX(NFP_Type!$A$2:$A$100,MATCH(I25,NFP_Type!$B$2:$B$100,0))))</f>
        <v/>
      </c>
      <c r="K25" s="80"/>
      <c r="L25" s="110"/>
      <c r="M25" s="11"/>
      <c r="N25" s="12"/>
      <c r="O25" s="109"/>
    </row>
    <row r="26" spans="1:15">
      <c r="A26" s="68"/>
      <c r="B26" s="82" t="str">
        <f t="shared" si="0"/>
        <v/>
      </c>
      <c r="C26" s="85"/>
      <c r="D26" s="76" t="str">
        <f>IF(C26="","",INDEX(CharacterID!$A$3:$A$1000,MATCH(C26,CharacterID!$B$3:$B$1000,0)))</f>
        <v/>
      </c>
      <c r="E26" s="72"/>
      <c r="F26" s="77" t="str">
        <f>IF(E26="","",IF(OR(E26="判定しない",E26="それ以外"),"*",INDEX(amiibo_DataList!$I$6:$I$1000,MATCH(E26,amiibo_DataList!$B$6:$B$1000,0))))</f>
        <v/>
      </c>
      <c r="G26" s="77"/>
      <c r="H26" s="76" t="str">
        <f>IF(G26="","",IF(G26="それ以外","*",INDEX(SeriesID!$A$2:$A$100,MATCH(G26,SeriesID!$B$2:$B$100,0))))</f>
        <v/>
      </c>
      <c r="I26" s="75"/>
      <c r="J26" s="76" t="str">
        <f>IF(I26="","",IF(I26="それ以外","*",INDEX(NFP_Type!$A$2:$A$100,MATCH(I26,NFP_Type!$B$2:$B$100,0))))</f>
        <v/>
      </c>
      <c r="K26" s="80"/>
      <c r="L26" s="22"/>
      <c r="M26" s="11"/>
      <c r="N26" s="12"/>
      <c r="O26" s="109"/>
    </row>
    <row r="27" spans="1:15">
      <c r="A27" s="68"/>
      <c r="B27" s="82" t="str">
        <f t="shared" si="0"/>
        <v/>
      </c>
      <c r="C27" s="85"/>
      <c r="D27" s="76" t="str">
        <f>IF(C27="","",INDEX(CharacterID!$A$3:$A$1000,MATCH(C27,CharacterID!$B$3:$B$1000,0)))</f>
        <v/>
      </c>
      <c r="E27" s="72"/>
      <c r="F27" s="77" t="str">
        <f>IF(E27="","",IF(OR(E27="判定しない",E27="それ以外"),"*",INDEX(amiibo_DataList!$I$6:$I$1000,MATCH(E27,amiibo_DataList!$B$6:$B$1000,0))))</f>
        <v/>
      </c>
      <c r="G27" s="77"/>
      <c r="H27" s="76" t="str">
        <f>IF(G27="","",IF(G27="それ以外","*",INDEX(SeriesID!$A$2:$A$100,MATCH(G27,SeriesID!$B$2:$B$100,0))))</f>
        <v/>
      </c>
      <c r="I27" s="75"/>
      <c r="J27" s="76" t="str">
        <f>IF(I27="","",IF(I27="それ以外","*",INDEX(NFP_Type!$A$2:$A$100,MATCH(I27,NFP_Type!$B$2:$B$100,0))))</f>
        <v/>
      </c>
      <c r="K27" s="80"/>
      <c r="L27" s="22"/>
      <c r="M27" s="11"/>
      <c r="N27" s="12"/>
      <c r="O27" s="109"/>
    </row>
    <row r="28" spans="1:15">
      <c r="A28" s="68"/>
      <c r="B28" s="82" t="str">
        <f t="shared" si="0"/>
        <v/>
      </c>
      <c r="C28" s="85"/>
      <c r="D28" s="76" t="str">
        <f>IF(C28="","",INDEX(CharacterID!$A$3:$A$1000,MATCH(C28,CharacterID!$B$3:$B$1000,0)))</f>
        <v/>
      </c>
      <c r="E28" s="72"/>
      <c r="F28" s="77" t="str">
        <f>IF(E28="","",IF(OR(E28="判定しない",E28="それ以外"),"*",INDEX(amiibo_DataList!$I$6:$I$1000,MATCH(E28,amiibo_DataList!$B$6:$B$1000,0))))</f>
        <v/>
      </c>
      <c r="G28" s="77"/>
      <c r="H28" s="76" t="str">
        <f>IF(G28="","",IF(G28="それ以外","*",INDEX(SeriesID!$A$2:$A$100,MATCH(G28,SeriesID!$B$2:$B$100,0))))</f>
        <v/>
      </c>
      <c r="I28" s="75"/>
      <c r="J28" s="76" t="str">
        <f>IF(I28="","",IF(I28="それ以外","*",INDEX(NFP_Type!$A$2:$A$100,MATCH(I28,NFP_Type!$B$2:$B$100,0))))</f>
        <v/>
      </c>
      <c r="K28" s="80"/>
      <c r="L28" s="22"/>
      <c r="M28" s="11"/>
      <c r="N28" s="12"/>
      <c r="O28" s="109"/>
    </row>
    <row r="29" spans="1:15">
      <c r="A29" s="68"/>
      <c r="B29" s="82" t="str">
        <f t="shared" si="0"/>
        <v/>
      </c>
      <c r="C29" s="85"/>
      <c r="D29" s="76" t="str">
        <f>IF(C29="","",INDEX(CharacterID!$A$3:$A$1000,MATCH(C29,CharacterID!$B$3:$B$1000,0)))</f>
        <v/>
      </c>
      <c r="E29" s="72"/>
      <c r="F29" s="77" t="str">
        <f>IF(E29="","",IF(OR(E29="判定しない",E29="それ以外"),"*",INDEX(amiibo_DataList!$I$6:$I$1000,MATCH(E29,amiibo_DataList!$B$6:$B$1000,0))))</f>
        <v/>
      </c>
      <c r="G29" s="77"/>
      <c r="H29" s="76" t="str">
        <f>IF(G29="","",IF(G29="それ以外","*",INDEX(SeriesID!$A$2:$A$100,MATCH(G29,SeriesID!$B$2:$B$100,0))))</f>
        <v/>
      </c>
      <c r="I29" s="75"/>
      <c r="J29" s="76" t="str">
        <f>IF(I29="","",IF(I29="それ以外","*",INDEX(NFP_Type!$A$2:$A$100,MATCH(I29,NFP_Type!$B$2:$B$100,0))))</f>
        <v/>
      </c>
      <c r="K29" s="80"/>
      <c r="L29" s="22"/>
      <c r="M29" s="11"/>
      <c r="N29" s="12"/>
      <c r="O29" s="109"/>
    </row>
    <row r="30" spans="1:15">
      <c r="A30" s="68"/>
      <c r="B30" s="82" t="str">
        <f t="shared" si="0"/>
        <v/>
      </c>
      <c r="C30" s="85"/>
      <c r="D30" s="76" t="str">
        <f>IF(C30="","",INDEX(CharacterID!$A$3:$A$1000,MATCH(C30,CharacterID!$B$3:$B$1000,0)))</f>
        <v/>
      </c>
      <c r="E30" s="72"/>
      <c r="F30" s="77" t="str">
        <f>IF(E30="","",IF(OR(E30="判定しない",E30="それ以外"),"*",INDEX(amiibo_DataList!$I$6:$I$1000,MATCH(E30,amiibo_DataList!$B$6:$B$1000,0))))</f>
        <v/>
      </c>
      <c r="G30" s="77"/>
      <c r="H30" s="76" t="str">
        <f>IF(G30="","",IF(G30="それ以外","*",INDEX(SeriesID!$A$2:$A$100,MATCH(G30,SeriesID!$B$2:$B$100,0))))</f>
        <v/>
      </c>
      <c r="I30" s="75"/>
      <c r="J30" s="76" t="str">
        <f>IF(I30="","",IF(I30="それ以外","*",INDEX(NFP_Type!$A$2:$A$100,MATCH(I30,NFP_Type!$B$2:$B$100,0))))</f>
        <v/>
      </c>
      <c r="K30" s="80"/>
      <c r="L30" s="23"/>
      <c r="M30" s="11"/>
      <c r="N30" s="12"/>
      <c r="O30" s="109"/>
    </row>
    <row r="31" spans="1:15">
      <c r="A31" s="68"/>
      <c r="B31" s="82" t="str">
        <f t="shared" si="0"/>
        <v/>
      </c>
      <c r="C31" s="85"/>
      <c r="D31" s="76" t="str">
        <f>IF(C31="","",INDEX(CharacterID!$A$3:$A$1000,MATCH(C31,CharacterID!$B$3:$B$1000,0)))</f>
        <v/>
      </c>
      <c r="E31" s="72"/>
      <c r="F31" s="77" t="str">
        <f>IF(E31="","",IF(OR(E31="判定しない",E31="それ以外"),"*",INDEX(amiibo_DataList!$I$6:$I$1000,MATCH(E31,amiibo_DataList!$B$6:$B$1000,0))))</f>
        <v/>
      </c>
      <c r="G31" s="77"/>
      <c r="H31" s="76" t="str">
        <f>IF(G31="","",IF(G31="それ以外","*",INDEX(SeriesID!$A$2:$A$100,MATCH(G31,SeriesID!$B$2:$B$100,0))))</f>
        <v/>
      </c>
      <c r="I31" s="75"/>
      <c r="J31" s="76" t="str">
        <f>IF(I31="","",IF(I31="それ以外","*",INDEX(NFP_Type!$A$2:$A$100,MATCH(I31,NFP_Type!$B$2:$B$100,0))))</f>
        <v/>
      </c>
      <c r="K31" s="80"/>
      <c r="L31" s="10"/>
      <c r="M31" s="11"/>
      <c r="N31" s="12"/>
      <c r="O31" s="109"/>
    </row>
    <row r="32" spans="1:15">
      <c r="A32" s="68"/>
      <c r="B32" s="82" t="str">
        <f t="shared" si="0"/>
        <v/>
      </c>
      <c r="C32" s="85"/>
      <c r="D32" s="76" t="str">
        <f>IF(C32="","",INDEX(CharacterID!$A$3:$A$1000,MATCH(C32,CharacterID!$B$3:$B$1000,0)))</f>
        <v/>
      </c>
      <c r="E32" s="72"/>
      <c r="F32" s="77" t="str">
        <f>IF(E32="","",IF(OR(E32="判定しない",E32="それ以外"),"*",INDEX(amiibo_DataList!$I$6:$I$1000,MATCH(E32,amiibo_DataList!$B$6:$B$1000,0))))</f>
        <v/>
      </c>
      <c r="G32" s="77"/>
      <c r="H32" s="76" t="str">
        <f>IF(G32="","",IF(G32="それ以外","*",INDEX(SeriesID!$A$2:$A$100,MATCH(G32,SeriesID!$B$2:$B$100,0))))</f>
        <v/>
      </c>
      <c r="I32" s="75"/>
      <c r="J32" s="76" t="str">
        <f>IF(I32="","",IF(I32="それ以外","*",INDEX(NFP_Type!$A$2:$A$100,MATCH(I32,NFP_Type!$B$2:$B$100,0))))</f>
        <v/>
      </c>
      <c r="K32" s="80"/>
      <c r="L32" s="10"/>
      <c r="M32" s="11"/>
      <c r="N32" s="12"/>
      <c r="O32" s="109"/>
    </row>
    <row r="33" spans="1:15">
      <c r="A33" s="68"/>
      <c r="B33" s="82" t="str">
        <f t="shared" si="0"/>
        <v/>
      </c>
      <c r="C33" s="85"/>
      <c r="D33" s="76" t="str">
        <f>IF(C33="","",INDEX(CharacterID!$A$3:$A$1000,MATCH(C33,CharacterID!$B$3:$B$1000,0)))</f>
        <v/>
      </c>
      <c r="E33" s="72"/>
      <c r="F33" s="77" t="str">
        <f>IF(E33="","",IF(OR(E33="判定しない",E33="それ以外"),"*",INDEX(amiibo_DataList!$I$6:$I$1000,MATCH(E33,amiibo_DataList!$B$6:$B$1000,0))))</f>
        <v/>
      </c>
      <c r="G33" s="77"/>
      <c r="H33" s="76" t="str">
        <f>IF(G33="","",IF(G33="それ以外","*",INDEX(SeriesID!$A$2:$A$100,MATCH(G33,SeriesID!$B$2:$B$100,0))))</f>
        <v/>
      </c>
      <c r="I33" s="75"/>
      <c r="J33" s="76" t="str">
        <f>IF(I33="","",IF(I33="それ以外","*",INDEX(NFP_Type!$A$2:$A$100,MATCH(I33,NFP_Type!$B$2:$B$100,0))))</f>
        <v/>
      </c>
      <c r="K33" s="80"/>
      <c r="L33" s="10"/>
      <c r="M33" s="11"/>
      <c r="N33" s="12"/>
      <c r="O33" s="109"/>
    </row>
    <row r="34" spans="1:15">
      <c r="A34" s="68"/>
      <c r="B34" s="82" t="str">
        <f t="shared" si="0"/>
        <v/>
      </c>
      <c r="C34" s="85"/>
      <c r="D34" s="76" t="str">
        <f>IF(C34="","",INDEX(CharacterID!$A$3:$A$1000,MATCH(C34,CharacterID!$B$3:$B$1000,0)))</f>
        <v/>
      </c>
      <c r="E34" s="72"/>
      <c r="F34" s="77" t="str">
        <f>IF(E34="","",IF(OR(E34="判定しない",E34="それ以外"),"*",INDEX(amiibo_DataList!$I$6:$I$1000,MATCH(E34,amiibo_DataList!$B$6:$B$1000,0))))</f>
        <v/>
      </c>
      <c r="G34" s="77"/>
      <c r="H34" s="76" t="str">
        <f>IF(G34="","",IF(G34="それ以外","*",INDEX(SeriesID!$A$2:$A$100,MATCH(G34,SeriesID!$B$2:$B$100,0))))</f>
        <v/>
      </c>
      <c r="I34" s="75"/>
      <c r="J34" s="76" t="str">
        <f>IF(I34="","",IF(I34="それ以外","*",INDEX(NFP_Type!$A$2:$A$100,MATCH(I34,NFP_Type!$B$2:$B$100,0))))</f>
        <v/>
      </c>
      <c r="K34" s="80"/>
      <c r="L34" s="10"/>
      <c r="M34" s="11"/>
      <c r="N34" s="12"/>
      <c r="O34" s="109"/>
    </row>
    <row r="35" spans="1:15">
      <c r="A35" s="68"/>
      <c r="B35" s="82" t="str">
        <f t="shared" si="0"/>
        <v/>
      </c>
      <c r="C35" s="85"/>
      <c r="D35" s="76" t="str">
        <f>IF(C35="","",INDEX(CharacterID!$A$3:$A$1000,MATCH(C35,CharacterID!$B$3:$B$1000,0)))</f>
        <v/>
      </c>
      <c r="E35" s="72"/>
      <c r="F35" s="77" t="str">
        <f>IF(E35="","",IF(OR(E35="判定しない",E35="それ以外"),"*",INDEX(amiibo_DataList!$I$6:$I$1000,MATCH(E35,amiibo_DataList!$B$6:$B$1000,0))))</f>
        <v/>
      </c>
      <c r="G35" s="77"/>
      <c r="H35" s="76" t="str">
        <f>IF(G35="","",IF(G35="それ以外","*",INDEX(SeriesID!$A$2:$A$100,MATCH(G35,SeriesID!$B$2:$B$100,0))))</f>
        <v/>
      </c>
      <c r="I35" s="75"/>
      <c r="J35" s="76" t="str">
        <f>IF(I35="","",IF(I35="それ以外","*",INDEX(NFP_Type!$A$2:$A$100,MATCH(I35,NFP_Type!$B$2:$B$100,0))))</f>
        <v/>
      </c>
      <c r="K35" s="80"/>
      <c r="L35" s="10"/>
      <c r="M35" s="11"/>
      <c r="N35" s="12"/>
      <c r="O35" s="109"/>
    </row>
    <row r="36" spans="1:15">
      <c r="A36" s="69"/>
      <c r="B36" s="83" t="str">
        <f t="shared" si="0"/>
        <v/>
      </c>
      <c r="C36" s="85"/>
      <c r="D36" s="76" t="str">
        <f>IF(C36="","",INDEX(CharacterID!$A$3:$A$1000,MATCH(C36,CharacterID!$B$3:$B$1000,0)))</f>
        <v/>
      </c>
      <c r="E36" s="72"/>
      <c r="F36" s="77" t="str">
        <f>IF(E36="","",IF(OR(E36="判定しない",E36="それ以外"),"*",INDEX(amiibo_DataList!$I$6:$I$1000,MATCH(E36,amiibo_DataList!$B$6:$B$1000,0))))</f>
        <v/>
      </c>
      <c r="G36" s="77"/>
      <c r="H36" s="76" t="str">
        <f>IF(G36="","",IF(G36="それ以外","*",INDEX(SeriesID!$A$2:$A$100,MATCH(G36,SeriesID!$B$2:$B$100,0))))</f>
        <v/>
      </c>
      <c r="I36" s="75"/>
      <c r="J36" s="76" t="str">
        <f>IF(I36="","",IF(I36="それ以外","*",INDEX(NFP_Type!$A$2:$A$100,MATCH(I36,NFP_Type!$B$2:$B$100,0))))</f>
        <v/>
      </c>
      <c r="K36" s="80"/>
      <c r="L36" s="10"/>
      <c r="M36" s="11"/>
      <c r="N36" s="12"/>
      <c r="O36" s="109"/>
    </row>
    <row r="37" spans="1:15">
      <c r="A37" s="69"/>
      <c r="B37" s="83" t="str">
        <f t="shared" si="0"/>
        <v/>
      </c>
      <c r="C37" s="85"/>
      <c r="D37" s="76" t="str">
        <f>IF(C37="","",INDEX(CharacterID!$A$3:$A$1000,MATCH(C37,CharacterID!$B$3:$B$1000,0)))</f>
        <v/>
      </c>
      <c r="E37" s="72"/>
      <c r="F37" s="77" t="str">
        <f>IF(E37="","",IF(OR(E37="判定しない",E37="それ以外"),"*",INDEX(amiibo_DataList!$I$6:$I$1000,MATCH(E37,amiibo_DataList!$B$6:$B$1000,0))))</f>
        <v/>
      </c>
      <c r="G37" s="77"/>
      <c r="H37" s="76" t="str">
        <f>IF(G37="","",IF(G37="それ以外","*",INDEX(SeriesID!$A$2:$A$100,MATCH(G37,SeriesID!$B$2:$B$100,0))))</f>
        <v/>
      </c>
      <c r="I37" s="75"/>
      <c r="J37" s="76" t="str">
        <f>IF(I37="","",IF(I37="それ以外","*",INDEX(NFP_Type!$A$2:$A$100,MATCH(I37,NFP_Type!$B$2:$B$100,0))))</f>
        <v/>
      </c>
      <c r="K37" s="80"/>
      <c r="L37" s="10"/>
      <c r="M37" s="11"/>
      <c r="N37" s="12"/>
      <c r="O37" s="109"/>
    </row>
    <row r="38" spans="1:15">
      <c r="A38" s="69"/>
      <c r="B38" s="83" t="str">
        <f t="shared" si="0"/>
        <v/>
      </c>
      <c r="C38" s="85"/>
      <c r="D38" s="76" t="str">
        <f>IF(C38="","",INDEX(CharacterID!$A$3:$A$1000,MATCH(C38,CharacterID!$B$3:$B$1000,0)))</f>
        <v/>
      </c>
      <c r="E38" s="72"/>
      <c r="F38" s="77" t="str">
        <f>IF(E38="","",IF(OR(E38="判定しない",E38="それ以外"),"*",INDEX(amiibo_DataList!$I$6:$I$1000,MATCH(E38,amiibo_DataList!$B$6:$B$1000,0))))</f>
        <v/>
      </c>
      <c r="G38" s="77"/>
      <c r="H38" s="76" t="str">
        <f>IF(G38="","",IF(G38="それ以外","*",INDEX(SeriesID!$A$2:$A$100,MATCH(G38,SeriesID!$B$2:$B$100,0))))</f>
        <v/>
      </c>
      <c r="I38" s="75"/>
      <c r="J38" s="76" t="str">
        <f>IF(I38="","",IF(I38="それ以外","*",INDEX(NFP_Type!$A$2:$A$100,MATCH(I38,NFP_Type!$B$2:$B$100,0))))</f>
        <v/>
      </c>
      <c r="K38" s="80"/>
      <c r="L38" s="10"/>
      <c r="M38" s="11"/>
      <c r="N38" s="12"/>
      <c r="O38" s="109"/>
    </row>
    <row r="39" spans="1:15">
      <c r="A39" s="69"/>
      <c r="B39" s="83" t="str">
        <f t="shared" si="0"/>
        <v/>
      </c>
      <c r="C39" s="85"/>
      <c r="D39" s="76" t="str">
        <f>IF(C39="","",INDEX(CharacterID!$A$3:$A$1000,MATCH(C39,CharacterID!$B$3:$B$1000,0)))</f>
        <v/>
      </c>
      <c r="E39" s="72"/>
      <c r="F39" s="77" t="str">
        <f>IF(E39="","",IF(OR(E39="判定しない",E39="それ以外"),"*",INDEX(amiibo_DataList!$I$6:$I$1000,MATCH(E39,amiibo_DataList!$B$6:$B$1000,0))))</f>
        <v/>
      </c>
      <c r="G39" s="77"/>
      <c r="H39" s="76" t="str">
        <f>IF(G39="","",IF(G39="それ以外","*",INDEX(SeriesID!$A$2:$A$100,MATCH(G39,SeriesID!$B$2:$B$100,0))))</f>
        <v/>
      </c>
      <c r="I39" s="75"/>
      <c r="J39" s="76" t="str">
        <f>IF(I39="","",IF(I39="それ以外","*",INDEX(NFP_Type!$A$2:$A$100,MATCH(I39,NFP_Type!$B$2:$B$100,0))))</f>
        <v/>
      </c>
      <c r="K39" s="80"/>
      <c r="L39" s="10"/>
      <c r="M39" s="11"/>
      <c r="N39" s="12"/>
      <c r="O39" s="109"/>
    </row>
    <row r="40" spans="1:15">
      <c r="A40" s="69"/>
      <c r="B40" s="83" t="str">
        <f t="shared" si="0"/>
        <v/>
      </c>
      <c r="C40" s="85"/>
      <c r="D40" s="76" t="str">
        <f>IF(C40="","",INDEX(CharacterID!$A$3:$A$1000,MATCH(C40,CharacterID!$B$3:$B$1000,0)))</f>
        <v/>
      </c>
      <c r="E40" s="72"/>
      <c r="F40" s="77" t="str">
        <f>IF(E40="","",IF(OR(E40="判定しない",E40="それ以外"),"*",INDEX(amiibo_DataList!$I$6:$I$1000,MATCH(E40,amiibo_DataList!$B$6:$B$1000,0))))</f>
        <v/>
      </c>
      <c r="G40" s="77"/>
      <c r="H40" s="76" t="str">
        <f>IF(G40="","",IF(G40="それ以外","*",INDEX(SeriesID!$A$2:$A$100,MATCH(G40,SeriesID!$B$2:$B$100,0))))</f>
        <v/>
      </c>
      <c r="I40" s="75"/>
      <c r="J40" s="76" t="str">
        <f>IF(I40="","",IF(I40="それ以外","*",INDEX(NFP_Type!$A$2:$A$100,MATCH(I40,NFP_Type!$B$2:$B$100,0))))</f>
        <v/>
      </c>
      <c r="K40" s="80"/>
      <c r="L40" s="10"/>
      <c r="M40" s="11"/>
      <c r="N40" s="12"/>
      <c r="O40" s="109"/>
    </row>
    <row r="41" spans="1:15">
      <c r="A41" s="69"/>
      <c r="B41" s="83" t="str">
        <f t="shared" si="0"/>
        <v/>
      </c>
      <c r="C41" s="85"/>
      <c r="D41" s="76" t="str">
        <f>IF(C41="","",INDEX(CharacterID!$A$3:$A$1000,MATCH(C41,CharacterID!$B$3:$B$1000,0)))</f>
        <v/>
      </c>
      <c r="E41" s="72"/>
      <c r="F41" s="77" t="str">
        <f>IF(E41="","",IF(OR(E41="判定しない",E41="それ以外"),"*",INDEX(amiibo_DataList!$I$6:$I$1000,MATCH(E41,amiibo_DataList!$B$6:$B$1000,0))))</f>
        <v/>
      </c>
      <c r="G41" s="77"/>
      <c r="H41" s="76" t="str">
        <f>IF(G41="","",IF(G41="それ以外","*",INDEX(SeriesID!$A$2:$A$100,MATCH(G41,SeriesID!$B$2:$B$100,0))))</f>
        <v/>
      </c>
      <c r="I41" s="75"/>
      <c r="J41" s="76" t="str">
        <f>IF(I41="","",IF(I41="それ以外","*",INDEX(NFP_Type!$A$2:$A$100,MATCH(I41,NFP_Type!$B$2:$B$100,0))))</f>
        <v/>
      </c>
      <c r="K41" s="80"/>
      <c r="L41" s="10"/>
      <c r="M41" s="11"/>
      <c r="N41" s="12"/>
      <c r="O41" s="109"/>
    </row>
    <row r="42" spans="1:15">
      <c r="A42" s="69"/>
      <c r="B42" s="83" t="str">
        <f t="shared" si="0"/>
        <v/>
      </c>
      <c r="C42" s="85"/>
      <c r="D42" s="76" t="str">
        <f>IF(C42="","",INDEX(CharacterID!$A$3:$A$1000,MATCH(C42,CharacterID!$B$3:$B$1000,0)))</f>
        <v/>
      </c>
      <c r="E42" s="72"/>
      <c r="F42" s="77" t="str">
        <f>IF(E42="","",IF(OR(E42="判定しない",E42="それ以外"),"*",INDEX(amiibo_DataList!$I$6:$I$1000,MATCH(E42,amiibo_DataList!$B$6:$B$1000,0))))</f>
        <v/>
      </c>
      <c r="G42" s="77"/>
      <c r="H42" s="76" t="str">
        <f>IF(G42="","",IF(G42="それ以外","*",INDEX(SeriesID!$A$2:$A$100,MATCH(G42,SeriesID!$B$2:$B$100,0))))</f>
        <v/>
      </c>
      <c r="I42" s="75"/>
      <c r="J42" s="76" t="str">
        <f>IF(I42="","",IF(I42="それ以外","*",INDEX(NFP_Type!$A$2:$A$100,MATCH(I42,NFP_Type!$B$2:$B$100,0))))</f>
        <v/>
      </c>
      <c r="K42" s="80"/>
      <c r="L42" s="13"/>
      <c r="M42" s="11"/>
      <c r="N42" s="14"/>
      <c r="O42" s="109"/>
    </row>
    <row r="43" spans="1:15" ht="15.75" thickBot="1">
      <c r="A43" s="69"/>
      <c r="B43" s="83" t="str">
        <f t="shared" si="0"/>
        <v/>
      </c>
      <c r="C43" s="85"/>
      <c r="D43" s="76" t="str">
        <f>IF(C43="","",INDEX(CharacterID!$A$3:$A$1000,MATCH(C43,CharacterID!$B$3:$B$1000,0)))</f>
        <v/>
      </c>
      <c r="E43" s="113"/>
      <c r="F43" s="114" t="str">
        <f>IF(E43="","",IF(OR(E43="判定しない",E43="それ以外"),"*",INDEX(amiibo_DataList!$I$6:$I$1000,MATCH(E43,amiibo_DataList!$B$6:$B$1000,0))))</f>
        <v/>
      </c>
      <c r="G43" s="114"/>
      <c r="H43" s="116" t="str">
        <f>IF(G43="","",IF(G43="それ以外","*",INDEX(SeriesID!$A$2:$A$100,MATCH(G43,SeriesID!$B$2:$B$100,0))))</f>
        <v/>
      </c>
      <c r="I43" s="115"/>
      <c r="J43" s="112" t="str">
        <f>IF(I43="","",IF(I43="それ以外","*",INDEX(NFP_Type!$A$2:$A$100,MATCH(I43,NFP_Type!$B$2:$B$100,0))))</f>
        <v/>
      </c>
      <c r="K43" s="116"/>
      <c r="L43" s="117"/>
      <c r="M43" s="118"/>
      <c r="N43" s="119"/>
      <c r="O43" s="120"/>
    </row>
  </sheetData>
  <autoFilter ref="C12:O12" xr:uid="{00000000-0009-0000-0000-000002000000}"/>
  <mergeCells count="4">
    <mergeCell ref="C2:O2"/>
    <mergeCell ref="D8:O8"/>
    <mergeCell ref="C14:F14"/>
    <mergeCell ref="D9:O9"/>
  </mergeCells>
  <phoneticPr fontId="2"/>
  <conditionalFormatting sqref="I15:I43 G15:G43 E15:E43 B16:C43 B15">
    <cfRule type="cellIs" dxfId="18" priority="7" operator="notEqual">
      <formula>""</formula>
    </cfRule>
  </conditionalFormatting>
  <conditionalFormatting sqref="G15:K43 D15:D43">
    <cfRule type="cellIs" dxfId="17" priority="8" operator="notEqual">
      <formula>""</formula>
    </cfRule>
  </conditionalFormatting>
  <conditionalFormatting sqref="E15:E43 C16:C43">
    <cfRule type="cellIs" dxfId="16" priority="6" operator="equal">
      <formula>""</formula>
    </cfRule>
  </conditionalFormatting>
  <conditionalFormatting sqref="G15:K43">
    <cfRule type="cellIs" dxfId="15" priority="9" operator="notEqual">
      <formula>"*"</formula>
    </cfRule>
  </conditionalFormatting>
  <conditionalFormatting sqref="B15:B43 G15:K43 D15:D43">
    <cfRule type="containsBlanks" dxfId="14" priority="5">
      <formula>LEN(TRIM(B15))=0</formula>
    </cfRule>
  </conditionalFormatting>
  <conditionalFormatting sqref="F15:F43">
    <cfRule type="cellIs" dxfId="13" priority="4" operator="notEqual">
      <formula>""</formula>
    </cfRule>
  </conditionalFormatting>
  <conditionalFormatting sqref="F15:F43">
    <cfRule type="containsBlanks" dxfId="12" priority="3">
      <formula>LEN(TRIM(F15))=0</formula>
    </cfRule>
  </conditionalFormatting>
  <conditionalFormatting sqref="C15">
    <cfRule type="cellIs" dxfId="1" priority="2" operator="notEqual">
      <formula>""</formula>
    </cfRule>
  </conditionalFormatting>
  <conditionalFormatting sqref="C15">
    <cfRule type="cellIs" dxfId="0" priority="1" operator="equal">
      <formula>""</formula>
    </cfRule>
  </conditionalFormatting>
  <dataValidations count="2">
    <dataValidation type="list" showInputMessage="1" showErrorMessage="1" errorTitle="ドロップダウンリストから選択してください" error="この欄には、ドロップダウンリストから「-」か「〇」を選んで入力してください。" sqref="M13:M43" xr:uid="{00000000-0002-0000-0200-000000000000}">
      <formula1>"○,×"</formula1>
    </dataValidation>
    <dataValidation type="list" allowBlank="1" showInputMessage="1" sqref="C13 C15" xr:uid="{FAD34FD1-ADEB-43FC-98CC-FBA1F042627E}">
      <formula1>#REF!</formula1>
    </dataValidation>
  </dataValidations>
  <pageMargins left="0.7" right="0.7" top="0.75" bottom="0.75" header="0.3" footer="0.3"/>
  <pageSetup paperSize="9" orientation="portrait" verticalDpi="1200" r:id="rId1"/>
  <extLst>
    <ext xmlns:x14="http://schemas.microsoft.com/office/spreadsheetml/2009/9/main" uri="{CCE6A557-97BC-4b89-ADB6-D9C93CAAB3DF}">
      <x14:dataValidations xmlns:xm="http://schemas.microsoft.com/office/excel/2006/main" count="4">
        <x14:dataValidation type="list" allowBlank="1" showInputMessage="1" xr:uid="{00000000-0002-0000-0200-000003000000}">
          <x14:formula1>
            <xm:f>CharacterID!$B$3:$B$1000</xm:f>
          </x14:formula1>
          <xm:sqref>C16:C43</xm:sqref>
        </x14:dataValidation>
        <x14:dataValidation type="list" xr:uid="{00000000-0002-0000-0200-000002000000}">
          <x14:formula1>
            <xm:f>INDIRECT(ADDRESS(5+MATCH(D15,amiibo_DataList!$G$6:$G$1000,0),2,1,1,"amiibo_DataList")&amp;":"&amp;SUBSTITUTE(ADDRESS(5+MATCH(D15,amiibo_DataList!$G$6:$G$1000,0)+COUNTIF(amiibo_DataList!$G$6:$G$1000,D15)-1,2,1,1,"amiibo_DataList"),"amiibo_DataList!",""))</xm:f>
          </x14:formula1>
          <xm:sqref>E15:E43</xm:sqref>
        </x14:dataValidation>
        <x14:dataValidation type="list" allowBlank="1" showInputMessage="1" xr:uid="{00000000-0002-0000-0200-000005000000}">
          <x14:formula1>
            <xm:f>SeriesID!$B$2:$B$100</xm:f>
          </x14:formula1>
          <xm:sqref>G15:G43</xm:sqref>
        </x14:dataValidation>
        <x14:dataValidation type="list" allowBlank="1" showInputMessage="1" xr:uid="{00000000-0002-0000-0200-000006000000}">
          <x14:formula1>
            <xm:f>NFP_Type!$B$2:$B$100</xm:f>
          </x14:formula1>
          <xm:sqref>I15:I43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9" tint="0.39997558519241921"/>
  </sheetPr>
  <dimension ref="A1:C8"/>
  <sheetViews>
    <sheetView workbookViewId="0">
      <selection activeCell="E6" sqref="E6"/>
    </sheetView>
  </sheetViews>
  <sheetFormatPr defaultColWidth="9" defaultRowHeight="15"/>
  <cols>
    <col min="1" max="1" width="2.42578125" style="26" customWidth="1"/>
    <col min="2" max="2" width="102.7109375" style="26" customWidth="1"/>
    <col min="3" max="16384" width="9" style="26"/>
  </cols>
  <sheetData>
    <row r="1" spans="1:3" ht="15.75" thickBot="1">
      <c r="A1" s="122"/>
      <c r="B1" s="25"/>
      <c r="C1"/>
    </row>
    <row r="2" spans="1:3" ht="45" customHeight="1" thickTop="1" thickBot="1">
      <c r="A2" s="27"/>
      <c r="B2" s="103" t="s">
        <v>1037</v>
      </c>
      <c r="C2" s="38"/>
    </row>
    <row r="3" spans="1:3" ht="15.75" thickTop="1">
      <c r="A3" s="122"/>
      <c r="B3" s="30"/>
      <c r="C3"/>
    </row>
    <row r="4" spans="1:3" ht="54.75" customHeight="1">
      <c r="B4" s="32" t="s">
        <v>1038</v>
      </c>
    </row>
    <row r="5" spans="1:3" ht="15.75" thickBot="1">
      <c r="A5" s="122"/>
      <c r="B5" s="25"/>
      <c r="C5"/>
    </row>
    <row r="6" spans="1:3" ht="26.25" customHeight="1" thickBot="1">
      <c r="A6" s="27"/>
      <c r="B6" s="55" t="s">
        <v>1039</v>
      </c>
      <c r="C6" s="38"/>
    </row>
    <row r="7" spans="1:3" ht="409.5" customHeight="1" thickBot="1">
      <c r="A7" s="27"/>
      <c r="B7" s="56"/>
      <c r="C7" s="38"/>
    </row>
    <row r="8" spans="1:3">
      <c r="A8" s="122"/>
      <c r="B8" s="30"/>
      <c r="C8"/>
    </row>
  </sheetData>
  <phoneticPr fontId="2"/>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0" tint="-0.34998626667073579"/>
  </sheetPr>
  <dimension ref="A1:Q196"/>
  <sheetViews>
    <sheetView zoomScale="70" zoomScaleNormal="70" workbookViewId="0">
      <selection activeCell="A3" sqref="A3"/>
    </sheetView>
  </sheetViews>
  <sheetFormatPr defaultColWidth="9" defaultRowHeight="15"/>
  <cols>
    <col min="1" max="1" width="12.42578125" style="92" bestFit="1" customWidth="1"/>
    <col min="2" max="2" width="19.28515625" style="91" customWidth="1"/>
    <col min="3" max="3" width="12.42578125" style="91" bestFit="1" customWidth="1"/>
    <col min="4" max="4" width="17.85546875" style="91" customWidth="1"/>
    <col min="5" max="5" width="14.42578125" style="91" customWidth="1"/>
    <col min="6" max="6" width="14.28515625" style="91" customWidth="1"/>
    <col min="7" max="7" width="12.42578125" style="91" customWidth="1"/>
    <col min="8" max="8" width="14.28515625" style="91" customWidth="1"/>
    <col min="9" max="9" width="12.85546875" style="91" customWidth="1"/>
    <col min="10" max="10" width="19.42578125" style="91" bestFit="1" customWidth="1"/>
    <col min="11" max="11" width="13.7109375" style="91" customWidth="1"/>
    <col min="12" max="17" width="20.5703125" style="91" customWidth="1"/>
    <col min="18" max="16384" width="9" style="91"/>
  </cols>
  <sheetData>
    <row r="1" spans="1:17" ht="36">
      <c r="A1" s="239" t="s">
        <v>940</v>
      </c>
      <c r="B1" s="239"/>
      <c r="C1" s="239"/>
      <c r="D1" s="239"/>
      <c r="E1" s="239"/>
      <c r="F1" s="239"/>
      <c r="G1" s="125"/>
      <c r="H1" s="125"/>
      <c r="I1" s="125"/>
      <c r="J1" s="126"/>
      <c r="K1" s="126"/>
      <c r="L1" s="126"/>
      <c r="M1" s="126"/>
      <c r="N1" s="126"/>
      <c r="O1" s="126"/>
      <c r="P1" s="126"/>
      <c r="Q1" s="126"/>
    </row>
    <row r="2" spans="1:17" ht="33.75" customHeight="1">
      <c r="A2" s="246"/>
      <c r="B2" s="246"/>
      <c r="C2" s="246"/>
      <c r="D2" s="246"/>
      <c r="E2" s="246"/>
      <c r="F2" s="246"/>
      <c r="G2" s="255" t="s">
        <v>1040</v>
      </c>
      <c r="H2" s="255"/>
      <c r="I2" s="255"/>
      <c r="J2" s="255"/>
      <c r="K2" s="126"/>
      <c r="L2" s="126"/>
      <c r="M2" s="126"/>
      <c r="N2" s="126"/>
      <c r="O2" s="126"/>
      <c r="P2" s="126"/>
      <c r="Q2" s="126"/>
    </row>
    <row r="3" spans="1:17" ht="15.75" thickBot="1">
      <c r="A3" s="127"/>
      <c r="B3" s="126"/>
      <c r="C3" s="126"/>
      <c r="D3" s="126"/>
      <c r="E3" s="126"/>
      <c r="F3" s="126"/>
      <c r="G3" s="126"/>
      <c r="H3" s="126"/>
      <c r="I3" s="126"/>
      <c r="J3" s="126"/>
      <c r="K3" s="126"/>
      <c r="L3" s="126"/>
      <c r="M3" s="126"/>
      <c r="N3" s="126"/>
      <c r="O3" s="126"/>
      <c r="P3" s="126"/>
      <c r="Q3" s="126"/>
    </row>
    <row r="4" spans="1:17" s="122" customFormat="1">
      <c r="A4" s="243" t="s">
        <v>10</v>
      </c>
      <c r="B4" s="244"/>
      <c r="C4" s="244"/>
      <c r="D4" s="244"/>
      <c r="E4" s="244"/>
      <c r="F4" s="245"/>
      <c r="G4" s="240" t="s">
        <v>1</v>
      </c>
      <c r="H4" s="241"/>
      <c r="I4" s="241"/>
      <c r="J4" s="241"/>
      <c r="K4" s="241"/>
      <c r="L4" s="241"/>
      <c r="M4" s="241"/>
      <c r="N4" s="241"/>
      <c r="O4" s="241"/>
      <c r="P4" s="241"/>
      <c r="Q4" s="242"/>
    </row>
    <row r="5" spans="1:17" s="122" customFormat="1" ht="105.75" thickBot="1">
      <c r="A5" s="138" t="s">
        <v>11</v>
      </c>
      <c r="B5" s="142" t="s">
        <v>12</v>
      </c>
      <c r="C5" s="123" t="s">
        <v>4</v>
      </c>
      <c r="D5" s="146" t="s">
        <v>16</v>
      </c>
      <c r="E5" s="146" t="s">
        <v>17</v>
      </c>
      <c r="F5" s="141" t="s">
        <v>18</v>
      </c>
      <c r="G5" s="143" t="s">
        <v>15</v>
      </c>
      <c r="H5" s="144" t="s">
        <v>14</v>
      </c>
      <c r="I5" s="144" t="s">
        <v>19</v>
      </c>
      <c r="J5" s="144" t="s">
        <v>20</v>
      </c>
      <c r="K5" s="144" t="s">
        <v>21</v>
      </c>
      <c r="L5" s="140" t="s">
        <v>22</v>
      </c>
      <c r="M5" s="136" t="s">
        <v>13</v>
      </c>
      <c r="N5" s="136" t="s">
        <v>5</v>
      </c>
      <c r="O5" s="136" t="s">
        <v>6</v>
      </c>
      <c r="P5" s="136" t="s">
        <v>7</v>
      </c>
      <c r="Q5" s="145" t="s">
        <v>8</v>
      </c>
    </row>
    <row r="6" spans="1:17" s="122" customFormat="1" ht="30.75" thickTop="1">
      <c r="A6" s="151" t="s">
        <v>185</v>
      </c>
      <c r="B6" s="180" t="s">
        <v>1041</v>
      </c>
      <c r="C6" s="124"/>
      <c r="D6" s="182" t="s">
        <v>1042</v>
      </c>
      <c r="E6" s="157" t="s">
        <v>1043</v>
      </c>
      <c r="F6" s="158" t="s">
        <v>1044</v>
      </c>
      <c r="G6" s="159" t="s">
        <v>23</v>
      </c>
      <c r="H6" s="152" t="s">
        <v>1041</v>
      </c>
      <c r="I6" s="160" t="s">
        <v>32</v>
      </c>
      <c r="J6" s="152" t="s">
        <v>1041</v>
      </c>
      <c r="K6" s="160" t="s">
        <v>24</v>
      </c>
      <c r="L6" s="152">
        <v>0</v>
      </c>
      <c r="M6" s="160">
        <v>0</v>
      </c>
      <c r="N6" s="160">
        <v>0</v>
      </c>
      <c r="O6" s="161">
        <v>2</v>
      </c>
      <c r="P6" s="161" t="s">
        <v>481</v>
      </c>
      <c r="Q6" s="162"/>
    </row>
    <row r="7" spans="1:17" s="122" customFormat="1" ht="30">
      <c r="A7" s="153" t="s">
        <v>187</v>
      </c>
      <c r="B7" s="82" t="s">
        <v>1041</v>
      </c>
      <c r="C7" s="147"/>
      <c r="D7" s="183" t="s">
        <v>1045</v>
      </c>
      <c r="E7" s="163" t="s">
        <v>1046</v>
      </c>
      <c r="F7" s="164" t="s">
        <v>1046</v>
      </c>
      <c r="G7" s="165" t="s">
        <v>23</v>
      </c>
      <c r="H7" s="133" t="s">
        <v>1041</v>
      </c>
      <c r="I7" s="147" t="s">
        <v>32</v>
      </c>
      <c r="J7" s="133" t="s">
        <v>1041</v>
      </c>
      <c r="K7" s="147" t="s">
        <v>24</v>
      </c>
      <c r="L7" s="133">
        <v>52</v>
      </c>
      <c r="M7" s="147">
        <v>1</v>
      </c>
      <c r="N7" s="147">
        <v>0</v>
      </c>
      <c r="O7" s="166">
        <v>2</v>
      </c>
      <c r="P7" s="166" t="s">
        <v>482</v>
      </c>
      <c r="Q7" s="167"/>
    </row>
    <row r="8" spans="1:17" s="122" customFormat="1" ht="30">
      <c r="A8" s="153" t="s">
        <v>188</v>
      </c>
      <c r="B8" s="82" t="s">
        <v>1041</v>
      </c>
      <c r="C8" s="147"/>
      <c r="D8" s="184" t="s">
        <v>1047</v>
      </c>
      <c r="E8" s="166" t="s">
        <v>1048</v>
      </c>
      <c r="F8" s="168" t="s">
        <v>1049</v>
      </c>
      <c r="G8" s="165" t="s">
        <v>23</v>
      </c>
      <c r="H8" s="133" t="s">
        <v>1041</v>
      </c>
      <c r="I8" s="147" t="s">
        <v>32</v>
      </c>
      <c r="J8" s="133" t="s">
        <v>1041</v>
      </c>
      <c r="K8" s="147" t="s">
        <v>24</v>
      </c>
      <c r="L8" s="169">
        <v>60</v>
      </c>
      <c r="M8" s="147">
        <v>1</v>
      </c>
      <c r="N8" s="147">
        <v>0</v>
      </c>
      <c r="O8" s="166">
        <v>2</v>
      </c>
      <c r="P8" s="166" t="s">
        <v>483</v>
      </c>
      <c r="Q8" s="167"/>
    </row>
    <row r="9" spans="1:17" s="122" customFormat="1" ht="30">
      <c r="A9" s="153" t="s">
        <v>189</v>
      </c>
      <c r="B9" s="82" t="s">
        <v>1041</v>
      </c>
      <c r="C9" s="147"/>
      <c r="D9" s="184" t="s">
        <v>1049</v>
      </c>
      <c r="E9" s="166" t="s">
        <v>1050</v>
      </c>
      <c r="F9" s="168" t="s">
        <v>1049</v>
      </c>
      <c r="G9" s="165" t="s">
        <v>23</v>
      </c>
      <c r="H9" s="133" t="s">
        <v>1041</v>
      </c>
      <c r="I9" s="147" t="s">
        <v>32</v>
      </c>
      <c r="J9" s="133" t="s">
        <v>1041</v>
      </c>
      <c r="K9" s="147" t="s">
        <v>24</v>
      </c>
      <c r="L9" s="170">
        <v>61</v>
      </c>
      <c r="M9" s="147">
        <v>1</v>
      </c>
      <c r="N9" s="147">
        <v>0</v>
      </c>
      <c r="O9" s="166">
        <v>2</v>
      </c>
      <c r="P9" s="166" t="s">
        <v>484</v>
      </c>
      <c r="Q9" s="167"/>
    </row>
    <row r="10" spans="1:17" s="122" customFormat="1" ht="30">
      <c r="A10" s="153" t="s">
        <v>190</v>
      </c>
      <c r="B10" s="82" t="s">
        <v>1041</v>
      </c>
      <c r="C10" s="147"/>
      <c r="D10" s="184" t="s">
        <v>1051</v>
      </c>
      <c r="E10" s="166" t="s">
        <v>1052</v>
      </c>
      <c r="F10" s="168" t="s">
        <v>1052</v>
      </c>
      <c r="G10" s="165" t="s">
        <v>23</v>
      </c>
      <c r="H10" s="133" t="s">
        <v>1041</v>
      </c>
      <c r="I10" s="147" t="s">
        <v>32</v>
      </c>
      <c r="J10" s="133" t="s">
        <v>1041</v>
      </c>
      <c r="K10" s="147" t="s">
        <v>24</v>
      </c>
      <c r="L10" s="170">
        <v>568</v>
      </c>
      <c r="M10" s="147">
        <v>6</v>
      </c>
      <c r="N10" s="147">
        <v>0</v>
      </c>
      <c r="O10" s="166">
        <v>2</v>
      </c>
      <c r="P10" s="166" t="s">
        <v>485</v>
      </c>
      <c r="Q10" s="167"/>
    </row>
    <row r="11" spans="1:17" s="122" customFormat="1" ht="30">
      <c r="A11" s="153" t="s">
        <v>191</v>
      </c>
      <c r="B11" s="82" t="s">
        <v>1041</v>
      </c>
      <c r="C11" s="147"/>
      <c r="D11" s="184" t="s">
        <v>1051</v>
      </c>
      <c r="E11" s="166" t="s">
        <v>1052</v>
      </c>
      <c r="F11" s="168" t="s">
        <v>1053</v>
      </c>
      <c r="G11" s="165" t="s">
        <v>23</v>
      </c>
      <c r="H11" s="133" t="s">
        <v>1041</v>
      </c>
      <c r="I11" s="147" t="s">
        <v>32</v>
      </c>
      <c r="J11" s="133" t="s">
        <v>1041</v>
      </c>
      <c r="K11" s="147" t="s">
        <v>24</v>
      </c>
      <c r="L11" s="170">
        <v>569</v>
      </c>
      <c r="M11" s="147">
        <v>6</v>
      </c>
      <c r="N11" s="147">
        <v>0</v>
      </c>
      <c r="O11" s="166">
        <v>2</v>
      </c>
      <c r="P11" s="166" t="s">
        <v>486</v>
      </c>
      <c r="Q11" s="167"/>
    </row>
    <row r="12" spans="1:17" s="122" customFormat="1" ht="30">
      <c r="A12" s="153" t="s">
        <v>192</v>
      </c>
      <c r="B12" s="82" t="s">
        <v>1041</v>
      </c>
      <c r="C12" s="147"/>
      <c r="D12" s="184" t="s">
        <v>1054</v>
      </c>
      <c r="E12" s="166" t="s">
        <v>1054</v>
      </c>
      <c r="F12" s="168" t="s">
        <v>1054</v>
      </c>
      <c r="G12" s="165" t="s">
        <v>23</v>
      </c>
      <c r="H12" s="133" t="s">
        <v>1041</v>
      </c>
      <c r="I12" s="147" t="s">
        <v>32</v>
      </c>
      <c r="J12" s="133" t="s">
        <v>1041</v>
      </c>
      <c r="K12" s="147" t="s">
        <v>24</v>
      </c>
      <c r="L12" s="170">
        <v>881</v>
      </c>
      <c r="M12" s="147">
        <v>1</v>
      </c>
      <c r="N12" s="147">
        <v>0</v>
      </c>
      <c r="O12" s="166">
        <v>2</v>
      </c>
      <c r="P12" s="166" t="s">
        <v>487</v>
      </c>
      <c r="Q12" s="167" t="s">
        <v>1295</v>
      </c>
    </row>
    <row r="13" spans="1:17" s="122" customFormat="1" ht="30">
      <c r="A13" s="153" t="s">
        <v>193</v>
      </c>
      <c r="B13" s="82" t="s">
        <v>1055</v>
      </c>
      <c r="C13" s="147"/>
      <c r="D13" s="184" t="s">
        <v>1056</v>
      </c>
      <c r="E13" s="166" t="s">
        <v>1052</v>
      </c>
      <c r="F13" s="168" t="s">
        <v>1057</v>
      </c>
      <c r="G13" s="165" t="s">
        <v>23</v>
      </c>
      <c r="H13" s="133" t="s">
        <v>1041</v>
      </c>
      <c r="I13" s="147" t="s">
        <v>488</v>
      </c>
      <c r="J13" s="133" t="s">
        <v>1055</v>
      </c>
      <c r="K13" s="147" t="s">
        <v>26</v>
      </c>
      <c r="L13" s="133">
        <v>25</v>
      </c>
      <c r="M13" s="147">
        <v>0</v>
      </c>
      <c r="N13" s="147">
        <v>0</v>
      </c>
      <c r="O13" s="166">
        <v>2</v>
      </c>
      <c r="P13" s="166" t="s">
        <v>27</v>
      </c>
      <c r="Q13" s="167"/>
    </row>
    <row r="14" spans="1:17" s="122" customFormat="1" ht="30">
      <c r="A14" s="153" t="s">
        <v>194</v>
      </c>
      <c r="B14" s="82" t="s">
        <v>1058</v>
      </c>
      <c r="C14" s="147"/>
      <c r="D14" s="184" t="s">
        <v>1059</v>
      </c>
      <c r="E14" s="166" t="s">
        <v>1059</v>
      </c>
      <c r="F14" s="168" t="s">
        <v>1059</v>
      </c>
      <c r="G14" s="165" t="s">
        <v>23</v>
      </c>
      <c r="H14" s="133" t="s">
        <v>1041</v>
      </c>
      <c r="I14" s="147" t="s">
        <v>489</v>
      </c>
      <c r="J14" s="133" t="s">
        <v>1058</v>
      </c>
      <c r="K14" s="147" t="s">
        <v>490</v>
      </c>
      <c r="L14" s="133">
        <v>934</v>
      </c>
      <c r="M14" s="147">
        <v>1</v>
      </c>
      <c r="N14" s="147">
        <v>0</v>
      </c>
      <c r="O14" s="166">
        <v>2</v>
      </c>
      <c r="P14" s="166" t="s">
        <v>491</v>
      </c>
      <c r="Q14" s="167"/>
    </row>
    <row r="15" spans="1:17" s="122" customFormat="1" ht="30">
      <c r="A15" s="153" t="s">
        <v>195</v>
      </c>
      <c r="B15" s="82" t="s">
        <v>1060</v>
      </c>
      <c r="C15" s="147"/>
      <c r="D15" s="183" t="s">
        <v>1042</v>
      </c>
      <c r="E15" s="163" t="s">
        <v>1061</v>
      </c>
      <c r="F15" s="164" t="s">
        <v>1062</v>
      </c>
      <c r="G15" s="165" t="s">
        <v>28</v>
      </c>
      <c r="H15" s="133" t="s">
        <v>1060</v>
      </c>
      <c r="I15" s="147" t="s">
        <v>32</v>
      </c>
      <c r="J15" s="133" t="s">
        <v>1060</v>
      </c>
      <c r="K15" s="147" t="s">
        <v>29</v>
      </c>
      <c r="L15" s="133">
        <v>12</v>
      </c>
      <c r="M15" s="147">
        <v>0</v>
      </c>
      <c r="N15" s="147">
        <v>0</v>
      </c>
      <c r="O15" s="166">
        <v>2</v>
      </c>
      <c r="P15" s="166" t="s">
        <v>30</v>
      </c>
      <c r="Q15" s="167"/>
    </row>
    <row r="16" spans="1:17" s="122" customFormat="1" ht="30">
      <c r="A16" s="153" t="s">
        <v>197</v>
      </c>
      <c r="B16" s="82" t="s">
        <v>1060</v>
      </c>
      <c r="C16" s="147"/>
      <c r="D16" s="183" t="s">
        <v>1045</v>
      </c>
      <c r="E16" s="163" t="s">
        <v>1046</v>
      </c>
      <c r="F16" s="164" t="s">
        <v>1046</v>
      </c>
      <c r="G16" s="165" t="s">
        <v>28</v>
      </c>
      <c r="H16" s="133" t="s">
        <v>1060</v>
      </c>
      <c r="I16" s="147" t="s">
        <v>32</v>
      </c>
      <c r="J16" s="133" t="s">
        <v>1060</v>
      </c>
      <c r="K16" s="147" t="s">
        <v>29</v>
      </c>
      <c r="L16" s="133">
        <v>53</v>
      </c>
      <c r="M16" s="147">
        <v>1</v>
      </c>
      <c r="N16" s="147">
        <v>0</v>
      </c>
      <c r="O16" s="166">
        <v>2</v>
      </c>
      <c r="P16" s="166" t="s">
        <v>492</v>
      </c>
      <c r="Q16" s="167"/>
    </row>
    <row r="17" spans="1:17" s="122" customFormat="1" ht="30">
      <c r="A17" s="153" t="s">
        <v>198</v>
      </c>
      <c r="B17" s="82" t="s">
        <v>1063</v>
      </c>
      <c r="C17" s="147"/>
      <c r="D17" s="183" t="s">
        <v>1042</v>
      </c>
      <c r="E17" s="163" t="s">
        <v>1043</v>
      </c>
      <c r="F17" s="164" t="s">
        <v>1044</v>
      </c>
      <c r="G17" s="165" t="s">
        <v>33</v>
      </c>
      <c r="H17" s="133" t="s">
        <v>1063</v>
      </c>
      <c r="I17" s="147" t="s">
        <v>32</v>
      </c>
      <c r="J17" s="133" t="s">
        <v>1063</v>
      </c>
      <c r="K17" s="147" t="s">
        <v>34</v>
      </c>
      <c r="L17" s="133">
        <v>1</v>
      </c>
      <c r="M17" s="147">
        <v>0</v>
      </c>
      <c r="N17" s="147">
        <v>0</v>
      </c>
      <c r="O17" s="166">
        <v>2</v>
      </c>
      <c r="P17" s="166" t="s">
        <v>35</v>
      </c>
      <c r="Q17" s="167"/>
    </row>
    <row r="18" spans="1:17" s="122" customFormat="1" ht="30">
      <c r="A18" s="153" t="s">
        <v>200</v>
      </c>
      <c r="B18" s="82" t="s">
        <v>1063</v>
      </c>
      <c r="C18" s="147"/>
      <c r="D18" s="183" t="s">
        <v>1045</v>
      </c>
      <c r="E18" s="163" t="s">
        <v>1046</v>
      </c>
      <c r="F18" s="164" t="s">
        <v>1046</v>
      </c>
      <c r="G18" s="165" t="s">
        <v>33</v>
      </c>
      <c r="H18" s="133" t="s">
        <v>1063</v>
      </c>
      <c r="I18" s="147" t="s">
        <v>32</v>
      </c>
      <c r="J18" s="133" t="s">
        <v>1063</v>
      </c>
      <c r="K18" s="147" t="s">
        <v>34</v>
      </c>
      <c r="L18" s="133">
        <v>54</v>
      </c>
      <c r="M18" s="147">
        <v>1</v>
      </c>
      <c r="N18" s="147">
        <v>0</v>
      </c>
      <c r="O18" s="166">
        <v>2</v>
      </c>
      <c r="P18" s="166" t="s">
        <v>493</v>
      </c>
      <c r="Q18" s="167"/>
    </row>
    <row r="19" spans="1:17" s="122" customFormat="1" ht="30">
      <c r="A19" s="153" t="s">
        <v>201</v>
      </c>
      <c r="B19" s="82" t="s">
        <v>1063</v>
      </c>
      <c r="C19" s="147"/>
      <c r="D19" s="184" t="s">
        <v>1054</v>
      </c>
      <c r="E19" s="166" t="s">
        <v>1054</v>
      </c>
      <c r="F19" s="168" t="s">
        <v>1054</v>
      </c>
      <c r="G19" s="165" t="s">
        <v>33</v>
      </c>
      <c r="H19" s="133" t="s">
        <v>1063</v>
      </c>
      <c r="I19" s="147" t="s">
        <v>32</v>
      </c>
      <c r="J19" s="133" t="s">
        <v>1063</v>
      </c>
      <c r="K19" s="147" t="s">
        <v>34</v>
      </c>
      <c r="L19" s="133">
        <v>882</v>
      </c>
      <c r="M19" s="147">
        <v>1</v>
      </c>
      <c r="N19" s="147">
        <v>0</v>
      </c>
      <c r="O19" s="166">
        <v>2</v>
      </c>
      <c r="P19" s="166" t="s">
        <v>494</v>
      </c>
      <c r="Q19" s="167" t="s">
        <v>1295</v>
      </c>
    </row>
    <row r="20" spans="1:17" s="122" customFormat="1" ht="30">
      <c r="A20" s="153" t="s">
        <v>202</v>
      </c>
      <c r="B20" s="82" t="s">
        <v>1064</v>
      </c>
      <c r="C20" s="147"/>
      <c r="D20" s="184" t="s">
        <v>1059</v>
      </c>
      <c r="E20" s="166" t="s">
        <v>1059</v>
      </c>
      <c r="F20" s="168" t="s">
        <v>1059</v>
      </c>
      <c r="G20" s="165" t="s">
        <v>33</v>
      </c>
      <c r="H20" s="133" t="s">
        <v>1063</v>
      </c>
      <c r="I20" s="147" t="s">
        <v>488</v>
      </c>
      <c r="J20" s="133" t="s">
        <v>1064</v>
      </c>
      <c r="K20" s="147" t="s">
        <v>495</v>
      </c>
      <c r="L20" s="133">
        <v>935</v>
      </c>
      <c r="M20" s="147">
        <v>1</v>
      </c>
      <c r="N20" s="147">
        <v>0</v>
      </c>
      <c r="O20" s="166">
        <v>2</v>
      </c>
      <c r="P20" s="166" t="s">
        <v>496</v>
      </c>
      <c r="Q20" s="167"/>
    </row>
    <row r="21" spans="1:17" s="122" customFormat="1" ht="30">
      <c r="A21" s="153" t="s">
        <v>203</v>
      </c>
      <c r="B21" s="82" t="s">
        <v>1065</v>
      </c>
      <c r="C21" s="147"/>
      <c r="D21" s="183" t="s">
        <v>1042</v>
      </c>
      <c r="E21" s="163" t="s">
        <v>1043</v>
      </c>
      <c r="F21" s="164" t="s">
        <v>1044</v>
      </c>
      <c r="G21" s="165" t="s">
        <v>37</v>
      </c>
      <c r="H21" s="133" t="s">
        <v>1065</v>
      </c>
      <c r="I21" s="147" t="s">
        <v>32</v>
      </c>
      <c r="J21" s="133" t="s">
        <v>1065</v>
      </c>
      <c r="K21" s="147" t="s">
        <v>38</v>
      </c>
      <c r="L21" s="133">
        <v>2</v>
      </c>
      <c r="M21" s="147">
        <v>0</v>
      </c>
      <c r="N21" s="147">
        <v>0</v>
      </c>
      <c r="O21" s="166">
        <v>2</v>
      </c>
      <c r="P21" s="166" t="s">
        <v>39</v>
      </c>
      <c r="Q21" s="167"/>
    </row>
    <row r="22" spans="1:17" s="122" customFormat="1" ht="30">
      <c r="A22" s="153" t="s">
        <v>205</v>
      </c>
      <c r="B22" s="82" t="s">
        <v>1065</v>
      </c>
      <c r="C22" s="147"/>
      <c r="D22" s="183" t="s">
        <v>1045</v>
      </c>
      <c r="E22" s="163" t="s">
        <v>1046</v>
      </c>
      <c r="F22" s="164" t="s">
        <v>1046</v>
      </c>
      <c r="G22" s="165" t="s">
        <v>37</v>
      </c>
      <c r="H22" s="133" t="s">
        <v>1065</v>
      </c>
      <c r="I22" s="147" t="s">
        <v>32</v>
      </c>
      <c r="J22" s="133" t="s">
        <v>1065</v>
      </c>
      <c r="K22" s="147" t="s">
        <v>38</v>
      </c>
      <c r="L22" s="133">
        <v>55</v>
      </c>
      <c r="M22" s="147">
        <v>1</v>
      </c>
      <c r="N22" s="147">
        <v>0</v>
      </c>
      <c r="O22" s="166">
        <v>2</v>
      </c>
      <c r="P22" s="166" t="s">
        <v>497</v>
      </c>
      <c r="Q22" s="167"/>
    </row>
    <row r="23" spans="1:17" s="122" customFormat="1" ht="30">
      <c r="A23" s="153" t="s">
        <v>206</v>
      </c>
      <c r="B23" s="82" t="s">
        <v>1066</v>
      </c>
      <c r="C23" s="147"/>
      <c r="D23" s="184" t="s">
        <v>1067</v>
      </c>
      <c r="E23" s="166" t="s">
        <v>1068</v>
      </c>
      <c r="F23" s="168" t="s">
        <v>1069</v>
      </c>
      <c r="G23" s="165" t="s">
        <v>37</v>
      </c>
      <c r="H23" s="133" t="s">
        <v>1065</v>
      </c>
      <c r="I23" s="147" t="s">
        <v>488</v>
      </c>
      <c r="J23" s="133" t="s">
        <v>1066</v>
      </c>
      <c r="K23" s="147" t="s">
        <v>498</v>
      </c>
      <c r="L23" s="133">
        <v>65</v>
      </c>
      <c r="M23" s="147">
        <v>3</v>
      </c>
      <c r="N23" s="147">
        <v>2</v>
      </c>
      <c r="O23" s="133">
        <v>2</v>
      </c>
      <c r="P23" s="166" t="s">
        <v>499</v>
      </c>
      <c r="Q23" s="171"/>
    </row>
    <row r="24" spans="1:17" ht="30">
      <c r="A24" s="153" t="s">
        <v>207</v>
      </c>
      <c r="B24" s="82" t="s">
        <v>1070</v>
      </c>
      <c r="C24" s="147"/>
      <c r="D24" s="184" t="s">
        <v>1067</v>
      </c>
      <c r="E24" s="166" t="s">
        <v>1068</v>
      </c>
      <c r="F24" s="168" t="s">
        <v>1069</v>
      </c>
      <c r="G24" s="165" t="s">
        <v>37</v>
      </c>
      <c r="H24" s="133" t="s">
        <v>1065</v>
      </c>
      <c r="I24" s="147" t="s">
        <v>488</v>
      </c>
      <c r="J24" s="133" t="s">
        <v>1070</v>
      </c>
      <c r="K24" s="147" t="s">
        <v>498</v>
      </c>
      <c r="L24" s="133">
        <v>66</v>
      </c>
      <c r="M24" s="147">
        <v>3</v>
      </c>
      <c r="N24" s="147">
        <v>2</v>
      </c>
      <c r="O24" s="133">
        <v>2</v>
      </c>
      <c r="P24" s="166" t="s">
        <v>500</v>
      </c>
      <c r="Q24" s="171"/>
    </row>
    <row r="25" spans="1:17" ht="30">
      <c r="A25" s="153" t="s">
        <v>208</v>
      </c>
      <c r="B25" s="82" t="s">
        <v>1071</v>
      </c>
      <c r="C25" s="147"/>
      <c r="D25" s="184" t="s">
        <v>1067</v>
      </c>
      <c r="E25" s="166" t="s">
        <v>1068</v>
      </c>
      <c r="F25" s="168" t="s">
        <v>1069</v>
      </c>
      <c r="G25" s="165" t="s">
        <v>37</v>
      </c>
      <c r="H25" s="133" t="s">
        <v>1065</v>
      </c>
      <c r="I25" s="147" t="s">
        <v>488</v>
      </c>
      <c r="J25" s="133" t="s">
        <v>1071</v>
      </c>
      <c r="K25" s="147" t="s">
        <v>498</v>
      </c>
      <c r="L25" s="133">
        <v>67</v>
      </c>
      <c r="M25" s="147">
        <v>3</v>
      </c>
      <c r="N25" s="147">
        <v>2</v>
      </c>
      <c r="O25" s="133">
        <v>2</v>
      </c>
      <c r="P25" s="166" t="s">
        <v>501</v>
      </c>
      <c r="Q25" s="171"/>
    </row>
    <row r="26" spans="1:17" ht="30">
      <c r="A26" s="153" t="s">
        <v>209</v>
      </c>
      <c r="B26" s="82" t="s">
        <v>1072</v>
      </c>
      <c r="C26" s="147"/>
      <c r="D26" s="184" t="s">
        <v>1073</v>
      </c>
      <c r="E26" s="166" t="s">
        <v>1074</v>
      </c>
      <c r="F26" s="168" t="s">
        <v>1075</v>
      </c>
      <c r="G26" s="165" t="s">
        <v>37</v>
      </c>
      <c r="H26" s="133" t="s">
        <v>1065</v>
      </c>
      <c r="I26" s="147" t="s">
        <v>488</v>
      </c>
      <c r="J26" s="133" t="s">
        <v>1072</v>
      </c>
      <c r="K26" s="147" t="s">
        <v>498</v>
      </c>
      <c r="L26" s="133">
        <v>574</v>
      </c>
      <c r="M26" s="147">
        <v>3</v>
      </c>
      <c r="N26" s="147">
        <v>2</v>
      </c>
      <c r="O26" s="133">
        <v>2</v>
      </c>
      <c r="P26" s="166" t="s">
        <v>502</v>
      </c>
      <c r="Q26" s="171"/>
    </row>
    <row r="27" spans="1:17" ht="30">
      <c r="A27" s="153" t="s">
        <v>210</v>
      </c>
      <c r="B27" s="82" t="s">
        <v>1076</v>
      </c>
      <c r="C27" s="147"/>
      <c r="D27" s="184" t="s">
        <v>1077</v>
      </c>
      <c r="E27" s="163" t="s">
        <v>1078</v>
      </c>
      <c r="F27" s="168" t="s">
        <v>1079</v>
      </c>
      <c r="G27" s="165" t="s">
        <v>41</v>
      </c>
      <c r="H27" s="133" t="s">
        <v>1076</v>
      </c>
      <c r="I27" s="147" t="s">
        <v>32</v>
      </c>
      <c r="J27" s="133" t="s">
        <v>1076</v>
      </c>
      <c r="K27" s="147" t="s">
        <v>503</v>
      </c>
      <c r="L27" s="133">
        <v>610</v>
      </c>
      <c r="M27" s="147">
        <v>1</v>
      </c>
      <c r="N27" s="147">
        <v>0</v>
      </c>
      <c r="O27" s="166">
        <v>2</v>
      </c>
      <c r="P27" s="166" t="s">
        <v>504</v>
      </c>
      <c r="Q27" s="171"/>
    </row>
    <row r="28" spans="1:17" ht="30">
      <c r="A28" s="153" t="s">
        <v>212</v>
      </c>
      <c r="B28" s="82" t="s">
        <v>1076</v>
      </c>
      <c r="C28" s="147"/>
      <c r="D28" s="184" t="s">
        <v>1080</v>
      </c>
      <c r="E28" s="172" t="s">
        <v>1081</v>
      </c>
      <c r="F28" s="173" t="s">
        <v>1082</v>
      </c>
      <c r="G28" s="165" t="s">
        <v>41</v>
      </c>
      <c r="H28" s="133" t="s">
        <v>1076</v>
      </c>
      <c r="I28" s="147" t="s">
        <v>488</v>
      </c>
      <c r="J28" s="133" t="s">
        <v>1076</v>
      </c>
      <c r="K28" s="147" t="s">
        <v>42</v>
      </c>
      <c r="L28" s="133">
        <v>19</v>
      </c>
      <c r="M28" s="147">
        <v>0</v>
      </c>
      <c r="N28" s="147">
        <v>0</v>
      </c>
      <c r="O28" s="166">
        <v>2</v>
      </c>
      <c r="P28" s="166" t="s">
        <v>505</v>
      </c>
      <c r="Q28" s="167"/>
    </row>
    <row r="29" spans="1:17" ht="30">
      <c r="A29" s="153" t="s">
        <v>213</v>
      </c>
      <c r="B29" s="82" t="s">
        <v>1083</v>
      </c>
      <c r="C29" s="147"/>
      <c r="D29" s="184" t="s">
        <v>1080</v>
      </c>
      <c r="E29" s="172" t="s">
        <v>1081</v>
      </c>
      <c r="F29" s="173" t="s">
        <v>1082</v>
      </c>
      <c r="G29" s="165" t="s">
        <v>43</v>
      </c>
      <c r="H29" s="133" t="s">
        <v>1083</v>
      </c>
      <c r="I29" s="147" t="s">
        <v>32</v>
      </c>
      <c r="J29" s="133" t="s">
        <v>1083</v>
      </c>
      <c r="K29" s="147" t="s">
        <v>44</v>
      </c>
      <c r="L29" s="133">
        <v>20</v>
      </c>
      <c r="M29" s="147">
        <v>0</v>
      </c>
      <c r="N29" s="147">
        <v>0</v>
      </c>
      <c r="O29" s="166">
        <v>2</v>
      </c>
      <c r="P29" s="166" t="s">
        <v>45</v>
      </c>
      <c r="Q29" s="167"/>
    </row>
    <row r="30" spans="1:17" ht="30">
      <c r="A30" s="153" t="s">
        <v>215</v>
      </c>
      <c r="B30" s="82" t="s">
        <v>1083</v>
      </c>
      <c r="C30" s="147"/>
      <c r="D30" s="183" t="s">
        <v>1045</v>
      </c>
      <c r="E30" s="163" t="s">
        <v>1046</v>
      </c>
      <c r="F30" s="164" t="s">
        <v>1046</v>
      </c>
      <c r="G30" s="165" t="s">
        <v>43</v>
      </c>
      <c r="H30" s="133" t="s">
        <v>1083</v>
      </c>
      <c r="I30" s="147" t="s">
        <v>32</v>
      </c>
      <c r="J30" s="133" t="s">
        <v>1083</v>
      </c>
      <c r="K30" s="147" t="s">
        <v>44</v>
      </c>
      <c r="L30" s="133">
        <v>57</v>
      </c>
      <c r="M30" s="147">
        <v>1</v>
      </c>
      <c r="N30" s="147">
        <v>0</v>
      </c>
      <c r="O30" s="166">
        <v>2</v>
      </c>
      <c r="P30" s="166" t="s">
        <v>506</v>
      </c>
      <c r="Q30" s="167"/>
    </row>
    <row r="31" spans="1:17" ht="30">
      <c r="A31" s="153" t="s">
        <v>216</v>
      </c>
      <c r="B31" s="82" t="s">
        <v>1083</v>
      </c>
      <c r="C31" s="147"/>
      <c r="D31" s="184" t="s">
        <v>1054</v>
      </c>
      <c r="E31" s="166" t="s">
        <v>1054</v>
      </c>
      <c r="F31" s="168" t="s">
        <v>1054</v>
      </c>
      <c r="G31" s="165" t="s">
        <v>43</v>
      </c>
      <c r="H31" s="133" t="s">
        <v>1083</v>
      </c>
      <c r="I31" s="147" t="s">
        <v>32</v>
      </c>
      <c r="J31" s="133" t="s">
        <v>1083</v>
      </c>
      <c r="K31" s="147" t="s">
        <v>44</v>
      </c>
      <c r="L31" s="133">
        <v>883</v>
      </c>
      <c r="M31" s="147">
        <v>1</v>
      </c>
      <c r="N31" s="147">
        <v>0</v>
      </c>
      <c r="O31" s="166">
        <v>2</v>
      </c>
      <c r="P31" s="166" t="s">
        <v>507</v>
      </c>
      <c r="Q31" s="167" t="s">
        <v>1295</v>
      </c>
    </row>
    <row r="32" spans="1:17" ht="30">
      <c r="A32" s="153" t="s">
        <v>217</v>
      </c>
      <c r="B32" s="82" t="s">
        <v>1084</v>
      </c>
      <c r="C32" s="147"/>
      <c r="D32" s="184" t="s">
        <v>1056</v>
      </c>
      <c r="E32" s="166" t="s">
        <v>1052</v>
      </c>
      <c r="F32" s="168" t="s">
        <v>1057</v>
      </c>
      <c r="G32" s="165" t="s">
        <v>47</v>
      </c>
      <c r="H32" s="133" t="s">
        <v>1084</v>
      </c>
      <c r="I32" s="147" t="s">
        <v>32</v>
      </c>
      <c r="J32" s="133" t="s">
        <v>1084</v>
      </c>
      <c r="K32" s="147" t="s">
        <v>48</v>
      </c>
      <c r="L32" s="133">
        <v>21</v>
      </c>
      <c r="M32" s="147">
        <v>0</v>
      </c>
      <c r="N32" s="147">
        <v>0</v>
      </c>
      <c r="O32" s="166">
        <v>2</v>
      </c>
      <c r="P32" s="166" t="s">
        <v>49</v>
      </c>
      <c r="Q32" s="167"/>
    </row>
    <row r="33" spans="1:17" ht="30">
      <c r="A33" s="153" t="s">
        <v>219</v>
      </c>
      <c r="B33" s="82" t="s">
        <v>1085</v>
      </c>
      <c r="C33" s="147"/>
      <c r="D33" s="184" t="s">
        <v>1086</v>
      </c>
      <c r="E33" s="166" t="s">
        <v>1050</v>
      </c>
      <c r="F33" s="168" t="s">
        <v>1087</v>
      </c>
      <c r="G33" s="165" t="s">
        <v>50</v>
      </c>
      <c r="H33" s="133" t="s">
        <v>1085</v>
      </c>
      <c r="I33" s="147" t="s">
        <v>32</v>
      </c>
      <c r="J33" s="133" t="s">
        <v>1085</v>
      </c>
      <c r="K33" s="147" t="s">
        <v>51</v>
      </c>
      <c r="L33" s="133">
        <v>26</v>
      </c>
      <c r="M33" s="147">
        <v>0</v>
      </c>
      <c r="N33" s="147">
        <v>0</v>
      </c>
      <c r="O33" s="166">
        <v>2</v>
      </c>
      <c r="P33" s="166" t="s">
        <v>52</v>
      </c>
      <c r="Q33" s="167"/>
    </row>
    <row r="34" spans="1:17" ht="30">
      <c r="A34" s="153" t="s">
        <v>221</v>
      </c>
      <c r="B34" s="82" t="s">
        <v>1085</v>
      </c>
      <c r="C34" s="147"/>
      <c r="D34" s="184" t="s">
        <v>1077</v>
      </c>
      <c r="E34" s="163" t="s">
        <v>1078</v>
      </c>
      <c r="F34" s="168" t="s">
        <v>1079</v>
      </c>
      <c r="G34" s="165" t="s">
        <v>50</v>
      </c>
      <c r="H34" s="133" t="s">
        <v>1085</v>
      </c>
      <c r="I34" s="147" t="s">
        <v>32</v>
      </c>
      <c r="J34" s="133" t="s">
        <v>1085</v>
      </c>
      <c r="K34" s="147" t="s">
        <v>51</v>
      </c>
      <c r="L34" s="133">
        <v>611</v>
      </c>
      <c r="M34" s="147">
        <v>1</v>
      </c>
      <c r="N34" s="147">
        <v>0</v>
      </c>
      <c r="O34" s="166">
        <v>2</v>
      </c>
      <c r="P34" s="166" t="s">
        <v>508</v>
      </c>
      <c r="Q34" s="167"/>
    </row>
    <row r="35" spans="1:17" ht="30">
      <c r="A35" s="153" t="s">
        <v>222</v>
      </c>
      <c r="B35" s="82" t="s">
        <v>1088</v>
      </c>
      <c r="C35" s="147"/>
      <c r="D35" s="183" t="s">
        <v>1042</v>
      </c>
      <c r="E35" s="163" t="s">
        <v>1043</v>
      </c>
      <c r="F35" s="164" t="s">
        <v>1044</v>
      </c>
      <c r="G35" s="165" t="s">
        <v>54</v>
      </c>
      <c r="H35" s="133" t="s">
        <v>1088</v>
      </c>
      <c r="I35" s="147" t="s">
        <v>32</v>
      </c>
      <c r="J35" s="133" t="s">
        <v>1088</v>
      </c>
      <c r="K35" s="147" t="s">
        <v>55</v>
      </c>
      <c r="L35" s="133">
        <v>3</v>
      </c>
      <c r="M35" s="147">
        <v>0</v>
      </c>
      <c r="N35" s="147">
        <v>0</v>
      </c>
      <c r="O35" s="166">
        <v>2</v>
      </c>
      <c r="P35" s="166" t="s">
        <v>56</v>
      </c>
      <c r="Q35" s="167"/>
    </row>
    <row r="36" spans="1:17" ht="30">
      <c r="A36" s="153" t="s">
        <v>224</v>
      </c>
      <c r="B36" s="82" t="s">
        <v>1088</v>
      </c>
      <c r="C36" s="147"/>
      <c r="D36" s="184" t="s">
        <v>1077</v>
      </c>
      <c r="E36" s="163" t="s">
        <v>1078</v>
      </c>
      <c r="F36" s="168" t="s">
        <v>1079</v>
      </c>
      <c r="G36" s="165" t="s">
        <v>54</v>
      </c>
      <c r="H36" s="133" t="s">
        <v>1088</v>
      </c>
      <c r="I36" s="147" t="s">
        <v>32</v>
      </c>
      <c r="J36" s="133" t="s">
        <v>1088</v>
      </c>
      <c r="K36" s="147" t="s">
        <v>55</v>
      </c>
      <c r="L36" s="133">
        <v>612</v>
      </c>
      <c r="M36" s="147">
        <v>1</v>
      </c>
      <c r="N36" s="147">
        <v>0</v>
      </c>
      <c r="O36" s="166">
        <v>2</v>
      </c>
      <c r="P36" s="166" t="s">
        <v>509</v>
      </c>
      <c r="Q36" s="167"/>
    </row>
    <row r="37" spans="1:17" ht="30">
      <c r="A37" s="153" t="s">
        <v>225</v>
      </c>
      <c r="B37" s="82" t="s">
        <v>1089</v>
      </c>
      <c r="C37" s="147"/>
      <c r="D37" s="183" t="s">
        <v>1042</v>
      </c>
      <c r="E37" s="163" t="s">
        <v>1061</v>
      </c>
      <c r="F37" s="164" t="s">
        <v>1062</v>
      </c>
      <c r="G37" s="165" t="s">
        <v>57</v>
      </c>
      <c r="H37" s="133" t="s">
        <v>1089</v>
      </c>
      <c r="I37" s="147" t="s">
        <v>32</v>
      </c>
      <c r="J37" s="133" t="s">
        <v>1089</v>
      </c>
      <c r="K37" s="147" t="s">
        <v>58</v>
      </c>
      <c r="L37" s="133">
        <v>13</v>
      </c>
      <c r="M37" s="147">
        <v>0</v>
      </c>
      <c r="N37" s="147">
        <v>0</v>
      </c>
      <c r="O37" s="166">
        <v>2</v>
      </c>
      <c r="P37" s="166" t="s">
        <v>59</v>
      </c>
      <c r="Q37" s="167"/>
    </row>
    <row r="38" spans="1:17" ht="30">
      <c r="A38" s="153" t="s">
        <v>227</v>
      </c>
      <c r="B38" s="82" t="s">
        <v>1089</v>
      </c>
      <c r="C38" s="147"/>
      <c r="D38" s="184" t="s">
        <v>1077</v>
      </c>
      <c r="E38" s="163" t="s">
        <v>1078</v>
      </c>
      <c r="F38" s="164" t="s">
        <v>1078</v>
      </c>
      <c r="G38" s="165" t="s">
        <v>57</v>
      </c>
      <c r="H38" s="133" t="s">
        <v>1089</v>
      </c>
      <c r="I38" s="147" t="s">
        <v>32</v>
      </c>
      <c r="J38" s="133" t="s">
        <v>1089</v>
      </c>
      <c r="K38" s="147" t="s">
        <v>58</v>
      </c>
      <c r="L38" s="133">
        <v>613</v>
      </c>
      <c r="M38" s="147">
        <v>1</v>
      </c>
      <c r="N38" s="147">
        <v>0</v>
      </c>
      <c r="O38" s="166">
        <v>2</v>
      </c>
      <c r="P38" s="166" t="s">
        <v>510</v>
      </c>
      <c r="Q38" s="167"/>
    </row>
    <row r="39" spans="1:17" ht="30">
      <c r="A39" s="153" t="s">
        <v>228</v>
      </c>
      <c r="B39" s="82" t="s">
        <v>1090</v>
      </c>
      <c r="C39" s="147"/>
      <c r="D39" s="183" t="s">
        <v>1045</v>
      </c>
      <c r="E39" s="163" t="s">
        <v>1046</v>
      </c>
      <c r="F39" s="164" t="s">
        <v>1046</v>
      </c>
      <c r="G39" s="165" t="s">
        <v>61</v>
      </c>
      <c r="H39" s="133" t="s">
        <v>1090</v>
      </c>
      <c r="I39" s="147" t="s">
        <v>32</v>
      </c>
      <c r="J39" s="133" t="s">
        <v>1090</v>
      </c>
      <c r="K39" s="147" t="s">
        <v>62</v>
      </c>
      <c r="L39" s="133">
        <v>56</v>
      </c>
      <c r="M39" s="147">
        <v>1</v>
      </c>
      <c r="N39" s="147">
        <v>0</v>
      </c>
      <c r="O39" s="166">
        <v>2</v>
      </c>
      <c r="P39" s="166" t="s">
        <v>511</v>
      </c>
      <c r="Q39" s="167"/>
    </row>
    <row r="40" spans="1:17" ht="30">
      <c r="A40" s="153" t="s">
        <v>230</v>
      </c>
      <c r="B40" s="82" t="s">
        <v>1091</v>
      </c>
      <c r="C40" s="147"/>
      <c r="D40" s="184" t="s">
        <v>1077</v>
      </c>
      <c r="E40" s="163" t="s">
        <v>1078</v>
      </c>
      <c r="F40" s="164" t="s">
        <v>1078</v>
      </c>
      <c r="G40" s="165" t="s">
        <v>512</v>
      </c>
      <c r="H40" s="133" t="s">
        <v>1091</v>
      </c>
      <c r="I40" s="147" t="s">
        <v>32</v>
      </c>
      <c r="J40" s="133" t="s">
        <v>1091</v>
      </c>
      <c r="K40" s="147" t="s">
        <v>513</v>
      </c>
      <c r="L40" s="133">
        <v>614</v>
      </c>
      <c r="M40" s="147">
        <v>1</v>
      </c>
      <c r="N40" s="147">
        <v>0</v>
      </c>
      <c r="O40" s="133">
        <v>2</v>
      </c>
      <c r="P40" s="166" t="s">
        <v>514</v>
      </c>
      <c r="Q40" s="171"/>
    </row>
    <row r="41" spans="1:17" ht="30">
      <c r="A41" s="153" t="s">
        <v>232</v>
      </c>
      <c r="B41" s="82" t="s">
        <v>1091</v>
      </c>
      <c r="C41" s="147"/>
      <c r="D41" s="183" t="s">
        <v>1092</v>
      </c>
      <c r="E41" s="163" t="s">
        <v>1092</v>
      </c>
      <c r="F41" s="164" t="s">
        <v>1092</v>
      </c>
      <c r="G41" s="165" t="s">
        <v>512</v>
      </c>
      <c r="H41" s="133" t="s">
        <v>1091</v>
      </c>
      <c r="I41" s="147" t="s">
        <v>32</v>
      </c>
      <c r="J41" s="133" t="s">
        <v>1091</v>
      </c>
      <c r="K41" s="147" t="s">
        <v>513</v>
      </c>
      <c r="L41" s="133">
        <v>890</v>
      </c>
      <c r="M41" s="147">
        <v>0</v>
      </c>
      <c r="N41" s="147">
        <v>0</v>
      </c>
      <c r="O41" s="133">
        <v>2</v>
      </c>
      <c r="P41" s="133" t="s">
        <v>515</v>
      </c>
      <c r="Q41" s="171"/>
    </row>
    <row r="42" spans="1:17" ht="30">
      <c r="A42" s="153" t="s">
        <v>233</v>
      </c>
      <c r="B42" s="82" t="s">
        <v>1093</v>
      </c>
      <c r="C42" s="147"/>
      <c r="D42" s="184" t="s">
        <v>1077</v>
      </c>
      <c r="E42" s="163" t="s">
        <v>1078</v>
      </c>
      <c r="F42" s="164" t="s">
        <v>1078</v>
      </c>
      <c r="G42" s="165" t="s">
        <v>516</v>
      </c>
      <c r="H42" s="133" t="s">
        <v>1093</v>
      </c>
      <c r="I42" s="147" t="s">
        <v>32</v>
      </c>
      <c r="J42" s="133" t="s">
        <v>1093</v>
      </c>
      <c r="K42" s="147" t="s">
        <v>517</v>
      </c>
      <c r="L42" s="133">
        <v>615</v>
      </c>
      <c r="M42" s="147">
        <v>1</v>
      </c>
      <c r="N42" s="147">
        <v>0</v>
      </c>
      <c r="O42" s="133">
        <v>2</v>
      </c>
      <c r="P42" s="166" t="s">
        <v>518</v>
      </c>
      <c r="Q42" s="171"/>
    </row>
    <row r="43" spans="1:17" ht="30">
      <c r="A43" s="153" t="s">
        <v>235</v>
      </c>
      <c r="B43" s="82" t="s">
        <v>1094</v>
      </c>
      <c r="C43" s="147"/>
      <c r="D43" s="184" t="s">
        <v>1095</v>
      </c>
      <c r="E43" s="166" t="s">
        <v>1096</v>
      </c>
      <c r="F43" s="168" t="s">
        <v>1096</v>
      </c>
      <c r="G43" s="165" t="s">
        <v>519</v>
      </c>
      <c r="H43" s="133" t="s">
        <v>1094</v>
      </c>
      <c r="I43" s="147" t="s">
        <v>32</v>
      </c>
      <c r="J43" s="133" t="s">
        <v>1094</v>
      </c>
      <c r="K43" s="147" t="s">
        <v>520</v>
      </c>
      <c r="L43" s="133">
        <v>871</v>
      </c>
      <c r="M43" s="147">
        <v>1</v>
      </c>
      <c r="N43" s="147">
        <v>0</v>
      </c>
      <c r="O43" s="133">
        <v>2</v>
      </c>
      <c r="P43" s="133" t="s">
        <v>521</v>
      </c>
      <c r="Q43" s="171"/>
    </row>
    <row r="44" spans="1:17" ht="30">
      <c r="A44" s="153" t="s">
        <v>237</v>
      </c>
      <c r="B44" s="82" t="s">
        <v>1097</v>
      </c>
      <c r="C44" s="147"/>
      <c r="D44" s="184" t="s">
        <v>1077</v>
      </c>
      <c r="E44" s="163" t="s">
        <v>1078</v>
      </c>
      <c r="F44" s="168" t="s">
        <v>1079</v>
      </c>
      <c r="G44" s="165" t="s">
        <v>522</v>
      </c>
      <c r="H44" s="133" t="s">
        <v>1097</v>
      </c>
      <c r="I44" s="147" t="s">
        <v>32</v>
      </c>
      <c r="J44" s="133" t="s">
        <v>1097</v>
      </c>
      <c r="K44" s="147" t="s">
        <v>523</v>
      </c>
      <c r="L44" s="133">
        <v>616</v>
      </c>
      <c r="M44" s="147">
        <v>1</v>
      </c>
      <c r="N44" s="147">
        <v>0</v>
      </c>
      <c r="O44" s="133">
        <v>2</v>
      </c>
      <c r="P44" s="166" t="s">
        <v>524</v>
      </c>
      <c r="Q44" s="171"/>
    </row>
    <row r="45" spans="1:17" ht="30">
      <c r="A45" s="153" t="s">
        <v>239</v>
      </c>
      <c r="B45" s="82" t="s">
        <v>1098</v>
      </c>
      <c r="C45" s="147"/>
      <c r="D45" s="184" t="s">
        <v>1095</v>
      </c>
      <c r="E45" s="166" t="s">
        <v>1096</v>
      </c>
      <c r="F45" s="168" t="s">
        <v>1096</v>
      </c>
      <c r="G45" s="165" t="s">
        <v>525</v>
      </c>
      <c r="H45" s="133" t="s">
        <v>1098</v>
      </c>
      <c r="I45" s="147" t="s">
        <v>32</v>
      </c>
      <c r="J45" s="133" t="s">
        <v>1098</v>
      </c>
      <c r="K45" s="147" t="s">
        <v>526</v>
      </c>
      <c r="L45" s="133">
        <v>872</v>
      </c>
      <c r="M45" s="147">
        <v>1</v>
      </c>
      <c r="N45" s="147">
        <v>0</v>
      </c>
      <c r="O45" s="133">
        <v>2</v>
      </c>
      <c r="P45" s="133" t="s">
        <v>527</v>
      </c>
      <c r="Q45" s="171"/>
    </row>
    <row r="46" spans="1:17" ht="30">
      <c r="A46" s="153" t="s">
        <v>241</v>
      </c>
      <c r="B46" s="82" t="s">
        <v>1099</v>
      </c>
      <c r="C46" s="147"/>
      <c r="D46" s="183" t="s">
        <v>1100</v>
      </c>
      <c r="E46" s="163" t="s">
        <v>1100</v>
      </c>
      <c r="F46" s="164" t="s">
        <v>1100</v>
      </c>
      <c r="G46" s="165" t="s">
        <v>528</v>
      </c>
      <c r="H46" s="133" t="s">
        <v>1099</v>
      </c>
      <c r="I46" s="147" t="s">
        <v>32</v>
      </c>
      <c r="J46" s="133" t="s">
        <v>1099</v>
      </c>
      <c r="K46" s="147" t="s">
        <v>529</v>
      </c>
      <c r="L46" s="133">
        <v>909</v>
      </c>
      <c r="M46" s="147">
        <v>0</v>
      </c>
      <c r="N46" s="147">
        <v>0</v>
      </c>
      <c r="O46" s="133">
        <v>2</v>
      </c>
      <c r="P46" s="133" t="s">
        <v>530</v>
      </c>
      <c r="Q46" s="171"/>
    </row>
    <row r="47" spans="1:17" ht="30">
      <c r="A47" s="153" t="s">
        <v>243</v>
      </c>
      <c r="B47" s="82" t="s">
        <v>1101</v>
      </c>
      <c r="C47" s="147"/>
      <c r="D47" s="183" t="s">
        <v>1102</v>
      </c>
      <c r="E47" s="163" t="s">
        <v>1103</v>
      </c>
      <c r="F47" s="164" t="s">
        <v>1103</v>
      </c>
      <c r="G47" s="165" t="s">
        <v>531</v>
      </c>
      <c r="H47" s="133" t="s">
        <v>1104</v>
      </c>
      <c r="I47" s="147" t="s">
        <v>488</v>
      </c>
      <c r="J47" s="133" t="s">
        <v>1101</v>
      </c>
      <c r="K47" s="147" t="s">
        <v>533</v>
      </c>
      <c r="L47" s="133">
        <v>861</v>
      </c>
      <c r="M47" s="147">
        <v>3</v>
      </c>
      <c r="N47" s="147">
        <v>2</v>
      </c>
      <c r="O47" s="133">
        <v>2</v>
      </c>
      <c r="P47" s="166" t="s">
        <v>534</v>
      </c>
      <c r="Q47" s="171"/>
    </row>
    <row r="48" spans="1:17" ht="30">
      <c r="A48" s="153" t="s">
        <v>244</v>
      </c>
      <c r="B48" s="82" t="s">
        <v>1105</v>
      </c>
      <c r="C48" s="147"/>
      <c r="D48" s="183" t="s">
        <v>1100</v>
      </c>
      <c r="E48" s="163" t="s">
        <v>1100</v>
      </c>
      <c r="F48" s="164" t="s">
        <v>1100</v>
      </c>
      <c r="G48" s="165" t="s">
        <v>535</v>
      </c>
      <c r="H48" s="133" t="s">
        <v>1105</v>
      </c>
      <c r="I48" s="147" t="s">
        <v>32</v>
      </c>
      <c r="J48" s="133" t="s">
        <v>1105</v>
      </c>
      <c r="K48" s="147" t="s">
        <v>536</v>
      </c>
      <c r="L48" s="133">
        <v>891</v>
      </c>
      <c r="M48" s="147">
        <v>0</v>
      </c>
      <c r="N48" s="147">
        <v>0</v>
      </c>
      <c r="O48" s="133">
        <v>2</v>
      </c>
      <c r="P48" s="133" t="s">
        <v>537</v>
      </c>
      <c r="Q48" s="171"/>
    </row>
    <row r="49" spans="1:17" ht="30">
      <c r="A49" s="153" t="s">
        <v>246</v>
      </c>
      <c r="B49" s="82" t="s">
        <v>1106</v>
      </c>
      <c r="C49" s="147"/>
      <c r="D49" s="183" t="s">
        <v>1042</v>
      </c>
      <c r="E49" s="163" t="s">
        <v>1043</v>
      </c>
      <c r="F49" s="164" t="s">
        <v>1044</v>
      </c>
      <c r="G49" s="165" t="s">
        <v>63</v>
      </c>
      <c r="H49" s="133" t="s">
        <v>1106</v>
      </c>
      <c r="I49" s="147" t="s">
        <v>32</v>
      </c>
      <c r="J49" s="133" t="s">
        <v>1106</v>
      </c>
      <c r="K49" s="147" t="s">
        <v>64</v>
      </c>
      <c r="L49" s="133">
        <v>4</v>
      </c>
      <c r="M49" s="147">
        <v>0</v>
      </c>
      <c r="N49" s="147">
        <v>0</v>
      </c>
      <c r="O49" s="166">
        <v>2</v>
      </c>
      <c r="P49" s="166" t="s">
        <v>65</v>
      </c>
      <c r="Q49" s="167"/>
    </row>
    <row r="50" spans="1:17" ht="30">
      <c r="A50" s="153" t="s">
        <v>248</v>
      </c>
      <c r="B50" s="82" t="s">
        <v>1106</v>
      </c>
      <c r="C50" s="147"/>
      <c r="D50" s="183" t="s">
        <v>1107</v>
      </c>
      <c r="E50" s="163" t="s">
        <v>1108</v>
      </c>
      <c r="F50" s="164" t="s">
        <v>1108</v>
      </c>
      <c r="G50" s="165" t="s">
        <v>63</v>
      </c>
      <c r="H50" s="133" t="s">
        <v>1106</v>
      </c>
      <c r="I50" s="147" t="s">
        <v>32</v>
      </c>
      <c r="J50" s="133" t="s">
        <v>1106</v>
      </c>
      <c r="K50" s="147" t="s">
        <v>64</v>
      </c>
      <c r="L50" s="133">
        <v>843</v>
      </c>
      <c r="M50" s="147">
        <v>9</v>
      </c>
      <c r="N50" s="147">
        <v>0</v>
      </c>
      <c r="O50" s="166">
        <v>2</v>
      </c>
      <c r="P50" s="166" t="s">
        <v>538</v>
      </c>
      <c r="Q50" s="167" t="s">
        <v>1296</v>
      </c>
    </row>
    <row r="51" spans="1:17" ht="30">
      <c r="A51" s="153" t="s">
        <v>249</v>
      </c>
      <c r="B51" s="82" t="s">
        <v>1106</v>
      </c>
      <c r="C51" s="147"/>
      <c r="D51" s="183" t="s">
        <v>1109</v>
      </c>
      <c r="E51" s="163" t="s">
        <v>1110</v>
      </c>
      <c r="F51" s="164" t="s">
        <v>1110</v>
      </c>
      <c r="G51" s="165" t="s">
        <v>63</v>
      </c>
      <c r="H51" s="133" t="s">
        <v>1106</v>
      </c>
      <c r="I51" s="147" t="s">
        <v>32</v>
      </c>
      <c r="J51" s="133" t="s">
        <v>1106</v>
      </c>
      <c r="K51" s="147" t="s">
        <v>64</v>
      </c>
      <c r="L51" s="133">
        <v>844</v>
      </c>
      <c r="M51" s="147">
        <v>9</v>
      </c>
      <c r="N51" s="147">
        <v>0</v>
      </c>
      <c r="O51" s="166">
        <v>2</v>
      </c>
      <c r="P51" s="166" t="s">
        <v>539</v>
      </c>
      <c r="Q51" s="167" t="s">
        <v>1297</v>
      </c>
    </row>
    <row r="52" spans="1:17" ht="30">
      <c r="A52" s="153" t="s">
        <v>250</v>
      </c>
      <c r="B52" s="82" t="s">
        <v>1106</v>
      </c>
      <c r="C52" s="147"/>
      <c r="D52" s="183" t="s">
        <v>1109</v>
      </c>
      <c r="E52" s="163" t="s">
        <v>1110</v>
      </c>
      <c r="F52" s="164" t="s">
        <v>1110</v>
      </c>
      <c r="G52" s="165" t="s">
        <v>63</v>
      </c>
      <c r="H52" s="133" t="s">
        <v>1106</v>
      </c>
      <c r="I52" s="147" t="s">
        <v>32</v>
      </c>
      <c r="J52" s="133" t="s">
        <v>1106</v>
      </c>
      <c r="K52" s="147" t="s">
        <v>64</v>
      </c>
      <c r="L52" s="133">
        <v>845</v>
      </c>
      <c r="M52" s="147">
        <v>9</v>
      </c>
      <c r="N52" s="147">
        <v>0</v>
      </c>
      <c r="O52" s="166">
        <v>2</v>
      </c>
      <c r="P52" s="166" t="s">
        <v>540</v>
      </c>
      <c r="Q52" s="167" t="s">
        <v>1298</v>
      </c>
    </row>
    <row r="53" spans="1:17" ht="30">
      <c r="A53" s="153" t="s">
        <v>251</v>
      </c>
      <c r="B53" s="82" t="s">
        <v>1106</v>
      </c>
      <c r="C53" s="147"/>
      <c r="D53" s="183" t="s">
        <v>1109</v>
      </c>
      <c r="E53" s="163" t="s">
        <v>1110</v>
      </c>
      <c r="F53" s="164" t="s">
        <v>1110</v>
      </c>
      <c r="G53" s="165" t="s">
        <v>63</v>
      </c>
      <c r="H53" s="133" t="s">
        <v>1106</v>
      </c>
      <c r="I53" s="147" t="s">
        <v>32</v>
      </c>
      <c r="J53" s="133" t="s">
        <v>1106</v>
      </c>
      <c r="K53" s="147" t="s">
        <v>64</v>
      </c>
      <c r="L53" s="133">
        <v>846</v>
      </c>
      <c r="M53" s="147">
        <v>9</v>
      </c>
      <c r="N53" s="147">
        <v>0</v>
      </c>
      <c r="O53" s="166">
        <v>2</v>
      </c>
      <c r="P53" s="166" t="s">
        <v>541</v>
      </c>
      <c r="Q53" s="167" t="s">
        <v>1299</v>
      </c>
    </row>
    <row r="54" spans="1:17" ht="30">
      <c r="A54" s="153" t="s">
        <v>252</v>
      </c>
      <c r="B54" s="82" t="s">
        <v>1106</v>
      </c>
      <c r="C54" s="147"/>
      <c r="D54" s="183" t="s">
        <v>1107</v>
      </c>
      <c r="E54" s="163" t="s">
        <v>1108</v>
      </c>
      <c r="F54" s="164" t="s">
        <v>1108</v>
      </c>
      <c r="G54" s="165" t="s">
        <v>63</v>
      </c>
      <c r="H54" s="133" t="s">
        <v>1106</v>
      </c>
      <c r="I54" s="147" t="s">
        <v>32</v>
      </c>
      <c r="J54" s="133" t="s">
        <v>1106</v>
      </c>
      <c r="K54" s="147" t="s">
        <v>64</v>
      </c>
      <c r="L54" s="133">
        <v>847</v>
      </c>
      <c r="M54" s="147">
        <v>9</v>
      </c>
      <c r="N54" s="147">
        <v>0</v>
      </c>
      <c r="O54" s="166">
        <v>2</v>
      </c>
      <c r="P54" s="166" t="s">
        <v>542</v>
      </c>
      <c r="Q54" s="167" t="s">
        <v>1300</v>
      </c>
    </row>
    <row r="55" spans="1:17" ht="30">
      <c r="A55" s="153" t="s">
        <v>253</v>
      </c>
      <c r="B55" s="82" t="s">
        <v>1106</v>
      </c>
      <c r="C55" s="147"/>
      <c r="D55" s="183" t="s">
        <v>1111</v>
      </c>
      <c r="E55" s="163" t="s">
        <v>1111</v>
      </c>
      <c r="F55" s="164" t="s">
        <v>1111</v>
      </c>
      <c r="G55" s="165" t="s">
        <v>63</v>
      </c>
      <c r="H55" s="133" t="s">
        <v>1106</v>
      </c>
      <c r="I55" s="147" t="s">
        <v>32</v>
      </c>
      <c r="J55" s="133" t="s">
        <v>1106</v>
      </c>
      <c r="K55" s="147" t="s">
        <v>64</v>
      </c>
      <c r="L55" s="133">
        <v>851</v>
      </c>
      <c r="M55" s="147">
        <v>9</v>
      </c>
      <c r="N55" s="147">
        <v>0</v>
      </c>
      <c r="O55" s="166">
        <v>2</v>
      </c>
      <c r="P55" s="166" t="s">
        <v>543</v>
      </c>
      <c r="Q55" s="167" t="s">
        <v>1301</v>
      </c>
    </row>
    <row r="56" spans="1:17" ht="30">
      <c r="A56" s="153" t="s">
        <v>254</v>
      </c>
      <c r="B56" s="82" t="s">
        <v>1106</v>
      </c>
      <c r="C56" s="147"/>
      <c r="D56" s="183" t="s">
        <v>1111</v>
      </c>
      <c r="E56" s="163" t="s">
        <v>1111</v>
      </c>
      <c r="F56" s="164" t="s">
        <v>1111</v>
      </c>
      <c r="G56" s="165" t="s">
        <v>63</v>
      </c>
      <c r="H56" s="133" t="s">
        <v>1106</v>
      </c>
      <c r="I56" s="147" t="s">
        <v>32</v>
      </c>
      <c r="J56" s="133" t="s">
        <v>1106</v>
      </c>
      <c r="K56" s="147" t="s">
        <v>64</v>
      </c>
      <c r="L56" s="133">
        <v>852</v>
      </c>
      <c r="M56" s="147">
        <v>9</v>
      </c>
      <c r="N56" s="147">
        <v>0</v>
      </c>
      <c r="O56" s="166">
        <v>2</v>
      </c>
      <c r="P56" s="166" t="s">
        <v>544</v>
      </c>
      <c r="Q56" s="167" t="s">
        <v>1301</v>
      </c>
    </row>
    <row r="57" spans="1:17" ht="30">
      <c r="A57" s="153" t="s">
        <v>255</v>
      </c>
      <c r="B57" s="82" t="s">
        <v>1112</v>
      </c>
      <c r="C57" s="147"/>
      <c r="D57" s="183" t="s">
        <v>1092</v>
      </c>
      <c r="E57" s="163" t="s">
        <v>1092</v>
      </c>
      <c r="F57" s="164" t="s">
        <v>1092</v>
      </c>
      <c r="G57" s="165" t="s">
        <v>63</v>
      </c>
      <c r="H57" s="133" t="s">
        <v>1106</v>
      </c>
      <c r="I57" s="147" t="s">
        <v>32</v>
      </c>
      <c r="J57" s="133" t="s">
        <v>1112</v>
      </c>
      <c r="K57" s="147" t="s">
        <v>64</v>
      </c>
      <c r="L57" s="133">
        <v>892</v>
      </c>
      <c r="M57" s="147">
        <v>0</v>
      </c>
      <c r="N57" s="147">
        <v>0</v>
      </c>
      <c r="O57" s="166">
        <v>2</v>
      </c>
      <c r="P57" s="166" t="s">
        <v>545</v>
      </c>
      <c r="Q57" s="256"/>
    </row>
    <row r="58" spans="1:17" ht="30">
      <c r="A58" s="153" t="s">
        <v>256</v>
      </c>
      <c r="B58" s="82" t="s">
        <v>1106</v>
      </c>
      <c r="C58" s="147"/>
      <c r="D58" s="183" t="s">
        <v>1113</v>
      </c>
      <c r="E58" s="163" t="s">
        <v>1113</v>
      </c>
      <c r="F58" s="164" t="s">
        <v>1113</v>
      </c>
      <c r="G58" s="165" t="s">
        <v>63</v>
      </c>
      <c r="H58" s="133" t="s">
        <v>1106</v>
      </c>
      <c r="I58" s="147" t="s">
        <v>32</v>
      </c>
      <c r="J58" s="133" t="s">
        <v>1106</v>
      </c>
      <c r="K58" s="147" t="s">
        <v>64</v>
      </c>
      <c r="L58" s="133">
        <v>921</v>
      </c>
      <c r="M58" s="147">
        <v>9</v>
      </c>
      <c r="N58" s="147">
        <v>0</v>
      </c>
      <c r="O58" s="166">
        <v>2</v>
      </c>
      <c r="P58" s="166" t="s">
        <v>546</v>
      </c>
      <c r="Q58" s="167" t="s">
        <v>1302</v>
      </c>
    </row>
    <row r="59" spans="1:17" ht="30">
      <c r="A59" s="153" t="s">
        <v>257</v>
      </c>
      <c r="B59" s="82" t="s">
        <v>1114</v>
      </c>
      <c r="C59" s="147"/>
      <c r="D59" s="184" t="s">
        <v>1080</v>
      </c>
      <c r="E59" s="172" t="s">
        <v>1081</v>
      </c>
      <c r="F59" s="173" t="s">
        <v>1082</v>
      </c>
      <c r="G59" s="165" t="s">
        <v>63</v>
      </c>
      <c r="H59" s="133" t="s">
        <v>1106</v>
      </c>
      <c r="I59" s="147" t="s">
        <v>488</v>
      </c>
      <c r="J59" s="133" t="s">
        <v>1114</v>
      </c>
      <c r="K59" s="147" t="s">
        <v>66</v>
      </c>
      <c r="L59" s="133">
        <v>22</v>
      </c>
      <c r="M59" s="147">
        <v>0</v>
      </c>
      <c r="N59" s="147">
        <v>0</v>
      </c>
      <c r="O59" s="166">
        <v>2</v>
      </c>
      <c r="P59" s="166" t="s">
        <v>67</v>
      </c>
      <c r="Q59" s="167"/>
    </row>
    <row r="60" spans="1:17" ht="30">
      <c r="A60" s="262" t="s">
        <v>258</v>
      </c>
      <c r="B60" s="259" t="s">
        <v>1114</v>
      </c>
      <c r="C60" s="208"/>
      <c r="D60" s="267" t="s">
        <v>1107</v>
      </c>
      <c r="E60" s="268" t="s">
        <v>1108</v>
      </c>
      <c r="F60" s="269" t="s">
        <v>1108</v>
      </c>
      <c r="G60" s="260" t="s">
        <v>63</v>
      </c>
      <c r="H60" s="258" t="s">
        <v>1106</v>
      </c>
      <c r="I60" s="208" t="s">
        <v>488</v>
      </c>
      <c r="J60" s="258" t="s">
        <v>1114</v>
      </c>
      <c r="K60" s="208" t="s">
        <v>66</v>
      </c>
      <c r="L60" s="258">
        <v>848</v>
      </c>
      <c r="M60" s="208">
        <v>9</v>
      </c>
      <c r="N60" s="208">
        <v>0</v>
      </c>
      <c r="O60" s="261">
        <v>2</v>
      </c>
      <c r="P60" s="261" t="s">
        <v>547</v>
      </c>
      <c r="Q60" s="277" t="s">
        <v>1303</v>
      </c>
    </row>
    <row r="61" spans="1:17" ht="30">
      <c r="A61" s="262" t="s">
        <v>259</v>
      </c>
      <c r="B61" s="259" t="s">
        <v>1115</v>
      </c>
      <c r="C61" s="208"/>
      <c r="D61" s="267" t="s">
        <v>1042</v>
      </c>
      <c r="E61" s="268" t="s">
        <v>1061</v>
      </c>
      <c r="F61" s="269" t="s">
        <v>1062</v>
      </c>
      <c r="G61" s="260" t="s">
        <v>68</v>
      </c>
      <c r="H61" s="258" t="s">
        <v>1115</v>
      </c>
      <c r="I61" s="208" t="s">
        <v>32</v>
      </c>
      <c r="J61" s="258" t="s">
        <v>1115</v>
      </c>
      <c r="K61" s="208" t="s">
        <v>69</v>
      </c>
      <c r="L61" s="258">
        <v>14</v>
      </c>
      <c r="M61" s="208">
        <v>0</v>
      </c>
      <c r="N61" s="208">
        <v>0</v>
      </c>
      <c r="O61" s="261">
        <v>2</v>
      </c>
      <c r="P61" s="261" t="s">
        <v>70</v>
      </c>
      <c r="Q61" s="277"/>
    </row>
    <row r="62" spans="1:17" ht="30">
      <c r="A62" s="262" t="s">
        <v>261</v>
      </c>
      <c r="B62" s="259" t="s">
        <v>1115</v>
      </c>
      <c r="C62" s="208"/>
      <c r="D62" s="267" t="s">
        <v>1107</v>
      </c>
      <c r="E62" s="268" t="s">
        <v>1108</v>
      </c>
      <c r="F62" s="269" t="s">
        <v>1108</v>
      </c>
      <c r="G62" s="260" t="s">
        <v>68</v>
      </c>
      <c r="H62" s="258" t="s">
        <v>1115</v>
      </c>
      <c r="I62" s="208" t="s">
        <v>32</v>
      </c>
      <c r="J62" s="258" t="s">
        <v>1115</v>
      </c>
      <c r="K62" s="208" t="s">
        <v>69</v>
      </c>
      <c r="L62" s="258">
        <v>850</v>
      </c>
      <c r="M62" s="208">
        <v>9</v>
      </c>
      <c r="N62" s="208">
        <v>0</v>
      </c>
      <c r="O62" s="261">
        <v>2</v>
      </c>
      <c r="P62" s="261" t="s">
        <v>548</v>
      </c>
      <c r="Q62" s="277" t="s">
        <v>1303</v>
      </c>
    </row>
    <row r="63" spans="1:17" ht="30">
      <c r="A63" s="262" t="s">
        <v>262</v>
      </c>
      <c r="B63" s="259" t="s">
        <v>1115</v>
      </c>
      <c r="C63" s="208"/>
      <c r="D63" s="267" t="s">
        <v>1111</v>
      </c>
      <c r="E63" s="268" t="s">
        <v>1111</v>
      </c>
      <c r="F63" s="269" t="s">
        <v>1111</v>
      </c>
      <c r="G63" s="260" t="s">
        <v>68</v>
      </c>
      <c r="H63" s="258" t="s">
        <v>1115</v>
      </c>
      <c r="I63" s="208" t="s">
        <v>32</v>
      </c>
      <c r="J63" s="258" t="s">
        <v>1115</v>
      </c>
      <c r="K63" s="208" t="s">
        <v>69</v>
      </c>
      <c r="L63" s="258">
        <v>854</v>
      </c>
      <c r="M63" s="208">
        <v>9</v>
      </c>
      <c r="N63" s="208">
        <v>0</v>
      </c>
      <c r="O63" s="261">
        <v>2</v>
      </c>
      <c r="P63" s="261" t="s">
        <v>549</v>
      </c>
      <c r="Q63" s="277" t="s">
        <v>1301</v>
      </c>
    </row>
    <row r="64" spans="1:17" ht="30">
      <c r="A64" s="262" t="s">
        <v>263</v>
      </c>
      <c r="B64" s="259" t="s">
        <v>1116</v>
      </c>
      <c r="C64" s="208"/>
      <c r="D64" s="263" t="s">
        <v>1080</v>
      </c>
      <c r="E64" s="264" t="s">
        <v>1081</v>
      </c>
      <c r="F64" s="265" t="s">
        <v>1082</v>
      </c>
      <c r="G64" s="260" t="s">
        <v>68</v>
      </c>
      <c r="H64" s="258" t="s">
        <v>1115</v>
      </c>
      <c r="I64" s="208" t="s">
        <v>488</v>
      </c>
      <c r="J64" s="258" t="s">
        <v>1116</v>
      </c>
      <c r="K64" s="208" t="s">
        <v>71</v>
      </c>
      <c r="L64" s="258">
        <v>23</v>
      </c>
      <c r="M64" s="208">
        <v>0</v>
      </c>
      <c r="N64" s="208">
        <v>0</v>
      </c>
      <c r="O64" s="261">
        <v>2</v>
      </c>
      <c r="P64" s="261" t="s">
        <v>72</v>
      </c>
      <c r="Q64" s="277"/>
    </row>
    <row r="65" spans="1:17" ht="30">
      <c r="A65" s="262" t="s">
        <v>264</v>
      </c>
      <c r="B65" s="258" t="s">
        <v>1293</v>
      </c>
      <c r="C65" s="208"/>
      <c r="D65" s="261" t="s">
        <v>1291</v>
      </c>
      <c r="E65" s="261" t="s">
        <v>1291</v>
      </c>
      <c r="F65" s="266" t="s">
        <v>1291</v>
      </c>
      <c r="G65" s="260" t="s">
        <v>68</v>
      </c>
      <c r="H65" s="258" t="s">
        <v>1292</v>
      </c>
      <c r="I65" s="208" t="s">
        <v>489</v>
      </c>
      <c r="J65" s="258" t="s">
        <v>1293</v>
      </c>
      <c r="K65" s="208" t="s">
        <v>550</v>
      </c>
      <c r="L65" s="258">
        <v>1044</v>
      </c>
      <c r="M65" s="208">
        <v>9</v>
      </c>
      <c r="N65" s="208">
        <v>0</v>
      </c>
      <c r="O65" s="261">
        <v>2</v>
      </c>
      <c r="P65" s="261" t="s">
        <v>551</v>
      </c>
      <c r="Q65" s="277" t="s">
        <v>1294</v>
      </c>
    </row>
    <row r="66" spans="1:17" ht="30">
      <c r="A66" s="262" t="s">
        <v>265</v>
      </c>
      <c r="B66" s="259" t="s">
        <v>1117</v>
      </c>
      <c r="C66" s="208"/>
      <c r="D66" s="263" t="s">
        <v>1118</v>
      </c>
      <c r="E66" s="261" t="s">
        <v>1052</v>
      </c>
      <c r="F66" s="266" t="s">
        <v>1069</v>
      </c>
      <c r="G66" s="260" t="s">
        <v>73</v>
      </c>
      <c r="H66" s="258" t="s">
        <v>1119</v>
      </c>
      <c r="I66" s="208" t="s">
        <v>488</v>
      </c>
      <c r="J66" s="258" t="s">
        <v>1117</v>
      </c>
      <c r="K66" s="208" t="s">
        <v>74</v>
      </c>
      <c r="L66" s="258">
        <v>27</v>
      </c>
      <c r="M66" s="208">
        <v>0</v>
      </c>
      <c r="N66" s="208">
        <v>0</v>
      </c>
      <c r="O66" s="261">
        <v>2</v>
      </c>
      <c r="P66" s="261" t="s">
        <v>75</v>
      </c>
      <c r="Q66" s="277"/>
    </row>
    <row r="67" spans="1:17" ht="30">
      <c r="A67" s="257" t="s">
        <v>266</v>
      </c>
      <c r="B67" s="259" t="s">
        <v>1120</v>
      </c>
      <c r="C67" s="208"/>
      <c r="D67" s="263" t="s">
        <v>1121</v>
      </c>
      <c r="E67" s="261" t="s">
        <v>1122</v>
      </c>
      <c r="F67" s="266" t="s">
        <v>1122</v>
      </c>
      <c r="G67" s="260" t="s">
        <v>553</v>
      </c>
      <c r="H67" s="258" t="s">
        <v>1120</v>
      </c>
      <c r="I67" s="208" t="s">
        <v>32</v>
      </c>
      <c r="J67" s="258" t="s">
        <v>1120</v>
      </c>
      <c r="K67" s="208" t="s">
        <v>554</v>
      </c>
      <c r="L67" s="258">
        <v>591</v>
      </c>
      <c r="M67" s="208">
        <v>9</v>
      </c>
      <c r="N67" s="208">
        <v>0</v>
      </c>
      <c r="O67" s="261">
        <v>2</v>
      </c>
      <c r="P67" s="261" t="s">
        <v>555</v>
      </c>
      <c r="Q67" s="278"/>
    </row>
    <row r="68" spans="1:17" ht="30">
      <c r="A68" s="257" t="s">
        <v>268</v>
      </c>
      <c r="B68" s="259" t="s">
        <v>1123</v>
      </c>
      <c r="C68" s="208"/>
      <c r="D68" s="263" t="s">
        <v>1124</v>
      </c>
      <c r="E68" s="261" t="s">
        <v>1124</v>
      </c>
      <c r="F68" s="266" t="s">
        <v>1124</v>
      </c>
      <c r="G68" s="260" t="s">
        <v>556</v>
      </c>
      <c r="H68" s="258" t="s">
        <v>1123</v>
      </c>
      <c r="I68" s="208" t="s">
        <v>32</v>
      </c>
      <c r="J68" s="258" t="s">
        <v>1123</v>
      </c>
      <c r="K68" s="208" t="s">
        <v>557</v>
      </c>
      <c r="L68" s="258">
        <v>856</v>
      </c>
      <c r="M68" s="208">
        <v>9</v>
      </c>
      <c r="N68" s="208">
        <v>0</v>
      </c>
      <c r="O68" s="261">
        <v>2</v>
      </c>
      <c r="P68" s="258" t="s">
        <v>558</v>
      </c>
      <c r="Q68" s="278"/>
    </row>
    <row r="69" spans="1:17" ht="30">
      <c r="A69" s="257" t="s">
        <v>270</v>
      </c>
      <c r="B69" s="259" t="s">
        <v>1125</v>
      </c>
      <c r="C69" s="208"/>
      <c r="D69" s="263" t="s">
        <v>1124</v>
      </c>
      <c r="E69" s="261" t="s">
        <v>1124</v>
      </c>
      <c r="F69" s="266" t="s">
        <v>1124</v>
      </c>
      <c r="G69" s="260" t="s">
        <v>559</v>
      </c>
      <c r="H69" s="258" t="s">
        <v>1125</v>
      </c>
      <c r="I69" s="208" t="s">
        <v>32</v>
      </c>
      <c r="J69" s="258" t="s">
        <v>1125</v>
      </c>
      <c r="K69" s="208" t="s">
        <v>560</v>
      </c>
      <c r="L69" s="258">
        <v>857</v>
      </c>
      <c r="M69" s="208">
        <v>9</v>
      </c>
      <c r="N69" s="208">
        <v>0</v>
      </c>
      <c r="O69" s="261">
        <v>2</v>
      </c>
      <c r="P69" s="258" t="s">
        <v>561</v>
      </c>
      <c r="Q69" s="278"/>
    </row>
    <row r="70" spans="1:17" ht="30">
      <c r="A70" s="154" t="s">
        <v>272</v>
      </c>
      <c r="B70" s="82" t="s">
        <v>1126</v>
      </c>
      <c r="C70" s="147"/>
      <c r="D70" s="184" t="s">
        <v>1124</v>
      </c>
      <c r="E70" s="166" t="s">
        <v>1124</v>
      </c>
      <c r="F70" s="168" t="s">
        <v>1124</v>
      </c>
      <c r="G70" s="165" t="s">
        <v>562</v>
      </c>
      <c r="H70" s="133" t="s">
        <v>1126</v>
      </c>
      <c r="I70" s="147" t="s">
        <v>32</v>
      </c>
      <c r="J70" s="133" t="s">
        <v>1126</v>
      </c>
      <c r="K70" s="147" t="s">
        <v>563</v>
      </c>
      <c r="L70" s="133">
        <v>858</v>
      </c>
      <c r="M70" s="147">
        <v>9</v>
      </c>
      <c r="N70" s="147">
        <v>0</v>
      </c>
      <c r="O70" s="166">
        <v>2</v>
      </c>
      <c r="P70" s="133" t="s">
        <v>564</v>
      </c>
      <c r="Q70" s="171"/>
    </row>
    <row r="71" spans="1:17" ht="30">
      <c r="A71" s="154" t="s">
        <v>274</v>
      </c>
      <c r="B71" s="82" t="s">
        <v>1127</v>
      </c>
      <c r="C71" s="147"/>
      <c r="D71" s="184" t="s">
        <v>1124</v>
      </c>
      <c r="E71" s="166" t="s">
        <v>1124</v>
      </c>
      <c r="F71" s="168" t="s">
        <v>1124</v>
      </c>
      <c r="G71" s="165" t="s">
        <v>565</v>
      </c>
      <c r="H71" s="133" t="s">
        <v>1127</v>
      </c>
      <c r="I71" s="147" t="s">
        <v>32</v>
      </c>
      <c r="J71" s="133" t="s">
        <v>1127</v>
      </c>
      <c r="K71" s="147" t="s">
        <v>566</v>
      </c>
      <c r="L71" s="133">
        <v>859</v>
      </c>
      <c r="M71" s="147">
        <v>9</v>
      </c>
      <c r="N71" s="147">
        <v>0</v>
      </c>
      <c r="O71" s="166">
        <v>2</v>
      </c>
      <c r="P71" s="133" t="s">
        <v>567</v>
      </c>
      <c r="Q71" s="171"/>
    </row>
    <row r="72" spans="1:17" ht="30">
      <c r="A72" s="154" t="s">
        <v>276</v>
      </c>
      <c r="B72" s="82" t="s">
        <v>1128</v>
      </c>
      <c r="C72" s="147"/>
      <c r="D72" s="183" t="s">
        <v>1111</v>
      </c>
      <c r="E72" s="163" t="s">
        <v>1111</v>
      </c>
      <c r="F72" s="164" t="s">
        <v>1111</v>
      </c>
      <c r="G72" s="165" t="s">
        <v>568</v>
      </c>
      <c r="H72" s="133" t="s">
        <v>1128</v>
      </c>
      <c r="I72" s="147" t="s">
        <v>32</v>
      </c>
      <c r="J72" s="133" t="s">
        <v>1128</v>
      </c>
      <c r="K72" s="147" t="s">
        <v>569</v>
      </c>
      <c r="L72" s="133">
        <v>853</v>
      </c>
      <c r="M72" s="147">
        <v>9</v>
      </c>
      <c r="N72" s="147">
        <v>0</v>
      </c>
      <c r="O72" s="166">
        <v>2</v>
      </c>
      <c r="P72" s="133" t="s">
        <v>570</v>
      </c>
      <c r="Q72" s="171"/>
    </row>
    <row r="73" spans="1:17" ht="30">
      <c r="A73" s="154" t="s">
        <v>278</v>
      </c>
      <c r="B73" s="82" t="s">
        <v>1129</v>
      </c>
      <c r="C73" s="147"/>
      <c r="D73" s="183" t="s">
        <v>1111</v>
      </c>
      <c r="E73" s="163" t="s">
        <v>1111</v>
      </c>
      <c r="F73" s="164" t="s">
        <v>1111</v>
      </c>
      <c r="G73" s="165" t="s">
        <v>571</v>
      </c>
      <c r="H73" s="133" t="s">
        <v>1129</v>
      </c>
      <c r="I73" s="147" t="s">
        <v>32</v>
      </c>
      <c r="J73" s="133" t="s">
        <v>1129</v>
      </c>
      <c r="K73" s="147" t="s">
        <v>572</v>
      </c>
      <c r="L73" s="133">
        <v>860</v>
      </c>
      <c r="M73" s="147">
        <v>9</v>
      </c>
      <c r="N73" s="147">
        <v>0</v>
      </c>
      <c r="O73" s="166">
        <v>2</v>
      </c>
      <c r="P73" s="133" t="s">
        <v>573</v>
      </c>
      <c r="Q73" s="171"/>
    </row>
    <row r="74" spans="1:17" ht="30">
      <c r="A74" s="153" t="s">
        <v>280</v>
      </c>
      <c r="B74" s="82" t="s">
        <v>1130</v>
      </c>
      <c r="C74" s="147"/>
      <c r="D74" s="183" t="s">
        <v>1042</v>
      </c>
      <c r="E74" s="163" t="s">
        <v>1043</v>
      </c>
      <c r="F74" s="164" t="s">
        <v>1044</v>
      </c>
      <c r="G74" s="165" t="s">
        <v>76</v>
      </c>
      <c r="H74" s="133" t="s">
        <v>1130</v>
      </c>
      <c r="I74" s="147" t="s">
        <v>32</v>
      </c>
      <c r="J74" s="133" t="s">
        <v>1130</v>
      </c>
      <c r="K74" s="147" t="s">
        <v>77</v>
      </c>
      <c r="L74" s="133">
        <v>8</v>
      </c>
      <c r="M74" s="147">
        <v>0</v>
      </c>
      <c r="N74" s="147">
        <v>0</v>
      </c>
      <c r="O74" s="166">
        <v>2</v>
      </c>
      <c r="P74" s="166" t="s">
        <v>574</v>
      </c>
      <c r="Q74" s="167"/>
    </row>
    <row r="75" spans="1:17" ht="30">
      <c r="A75" s="153" t="s">
        <v>282</v>
      </c>
      <c r="B75" s="82" t="s">
        <v>1131</v>
      </c>
      <c r="C75" s="147"/>
      <c r="D75" s="185" t="s">
        <v>1132</v>
      </c>
      <c r="E75" s="163" t="s">
        <v>1133</v>
      </c>
      <c r="F75" s="164" t="s">
        <v>1134</v>
      </c>
      <c r="G75" s="165" t="s">
        <v>575</v>
      </c>
      <c r="H75" s="133" t="s">
        <v>1131</v>
      </c>
      <c r="I75" s="147" t="s">
        <v>32</v>
      </c>
      <c r="J75" s="133" t="s">
        <v>1131</v>
      </c>
      <c r="K75" s="147" t="s">
        <v>576</v>
      </c>
      <c r="L75" s="133">
        <v>587</v>
      </c>
      <c r="M75" s="147">
        <v>5</v>
      </c>
      <c r="N75" s="147">
        <v>0</v>
      </c>
      <c r="O75" s="166">
        <v>2</v>
      </c>
      <c r="P75" s="166" t="s">
        <v>577</v>
      </c>
      <c r="Q75" s="171"/>
    </row>
    <row r="76" spans="1:17" ht="30">
      <c r="A76" s="153" t="s">
        <v>284</v>
      </c>
      <c r="B76" s="82" t="s">
        <v>1131</v>
      </c>
      <c r="C76" s="147"/>
      <c r="D76" s="183" t="s">
        <v>1135</v>
      </c>
      <c r="E76" s="163" t="s">
        <v>1135</v>
      </c>
      <c r="F76" s="164" t="s">
        <v>1135</v>
      </c>
      <c r="G76" s="165" t="s">
        <v>575</v>
      </c>
      <c r="H76" s="133" t="s">
        <v>1131</v>
      </c>
      <c r="I76" s="147" t="s">
        <v>32</v>
      </c>
      <c r="J76" s="133" t="s">
        <v>1131</v>
      </c>
      <c r="K76" s="147" t="s">
        <v>576</v>
      </c>
      <c r="L76" s="133">
        <v>893</v>
      </c>
      <c r="M76" s="147">
        <v>0</v>
      </c>
      <c r="N76" s="147">
        <v>0</v>
      </c>
      <c r="O76" s="166">
        <v>2</v>
      </c>
      <c r="P76" s="166" t="s">
        <v>578</v>
      </c>
      <c r="Q76" s="171"/>
    </row>
    <row r="77" spans="1:17" ht="30">
      <c r="A77" s="153" t="s">
        <v>285</v>
      </c>
      <c r="B77" s="82" t="s">
        <v>1131</v>
      </c>
      <c r="C77" s="147"/>
      <c r="D77" s="184" t="s">
        <v>1136</v>
      </c>
      <c r="E77" s="166" t="s">
        <v>1137</v>
      </c>
      <c r="F77" s="168" t="s">
        <v>1138</v>
      </c>
      <c r="G77" s="165" t="s">
        <v>575</v>
      </c>
      <c r="H77" s="133" t="s">
        <v>1131</v>
      </c>
      <c r="I77" s="147" t="s">
        <v>488</v>
      </c>
      <c r="J77" s="133" t="s">
        <v>1131</v>
      </c>
      <c r="K77" s="147" t="s">
        <v>579</v>
      </c>
      <c r="L77" s="133">
        <v>575</v>
      </c>
      <c r="M77" s="147">
        <v>5</v>
      </c>
      <c r="N77" s="147">
        <v>0</v>
      </c>
      <c r="O77" s="166">
        <v>2</v>
      </c>
      <c r="P77" s="166" t="s">
        <v>580</v>
      </c>
      <c r="Q77" s="171"/>
    </row>
    <row r="78" spans="1:17" ht="30">
      <c r="A78" s="153" t="s">
        <v>286</v>
      </c>
      <c r="B78" s="82" t="s">
        <v>1139</v>
      </c>
      <c r="C78" s="147"/>
      <c r="D78" s="184" t="s">
        <v>1136</v>
      </c>
      <c r="E78" s="166" t="s">
        <v>1137</v>
      </c>
      <c r="F78" s="168" t="s">
        <v>1138</v>
      </c>
      <c r="G78" s="165" t="s">
        <v>581</v>
      </c>
      <c r="H78" s="133" t="s">
        <v>1139</v>
      </c>
      <c r="I78" s="147" t="s">
        <v>32</v>
      </c>
      <c r="J78" s="133" t="s">
        <v>1139</v>
      </c>
      <c r="K78" s="147" t="s">
        <v>582</v>
      </c>
      <c r="L78" s="133">
        <v>576</v>
      </c>
      <c r="M78" s="147">
        <v>5</v>
      </c>
      <c r="N78" s="147">
        <v>0</v>
      </c>
      <c r="O78" s="166">
        <v>2</v>
      </c>
      <c r="P78" s="166" t="s">
        <v>583</v>
      </c>
      <c r="Q78" s="171"/>
    </row>
    <row r="79" spans="1:17" ht="30">
      <c r="A79" s="153" t="s">
        <v>288</v>
      </c>
      <c r="B79" s="82" t="s">
        <v>1140</v>
      </c>
      <c r="C79" s="147"/>
      <c r="D79" s="184" t="s">
        <v>1136</v>
      </c>
      <c r="E79" s="166" t="s">
        <v>1137</v>
      </c>
      <c r="F79" s="168" t="s">
        <v>1138</v>
      </c>
      <c r="G79" s="165" t="s">
        <v>584</v>
      </c>
      <c r="H79" s="133" t="s">
        <v>1140</v>
      </c>
      <c r="I79" s="147" t="s">
        <v>32</v>
      </c>
      <c r="J79" s="133" t="s">
        <v>1140</v>
      </c>
      <c r="K79" s="147" t="s">
        <v>585</v>
      </c>
      <c r="L79" s="133">
        <v>578</v>
      </c>
      <c r="M79" s="147">
        <v>5</v>
      </c>
      <c r="N79" s="147">
        <v>0</v>
      </c>
      <c r="O79" s="166">
        <v>2</v>
      </c>
      <c r="P79" s="166" t="s">
        <v>586</v>
      </c>
      <c r="Q79" s="171"/>
    </row>
    <row r="80" spans="1:17" ht="30">
      <c r="A80" s="153" t="s">
        <v>290</v>
      </c>
      <c r="B80" s="82" t="s">
        <v>1141</v>
      </c>
      <c r="C80" s="147"/>
      <c r="D80" s="185" t="s">
        <v>1132</v>
      </c>
      <c r="E80" s="163" t="s">
        <v>1134</v>
      </c>
      <c r="F80" s="164" t="s">
        <v>1134</v>
      </c>
      <c r="G80" s="165" t="s">
        <v>587</v>
      </c>
      <c r="H80" s="133" t="s">
        <v>1141</v>
      </c>
      <c r="I80" s="147" t="s">
        <v>32</v>
      </c>
      <c r="J80" s="133" t="s">
        <v>1141</v>
      </c>
      <c r="K80" s="147" t="s">
        <v>588</v>
      </c>
      <c r="L80" s="133">
        <v>589</v>
      </c>
      <c r="M80" s="147">
        <v>5</v>
      </c>
      <c r="N80" s="147">
        <v>0</v>
      </c>
      <c r="O80" s="166">
        <v>2</v>
      </c>
      <c r="P80" s="166" t="s">
        <v>589</v>
      </c>
      <c r="Q80" s="171"/>
    </row>
    <row r="81" spans="1:17" ht="30">
      <c r="A81" s="153" t="s">
        <v>292</v>
      </c>
      <c r="B81" s="82" t="s">
        <v>1142</v>
      </c>
      <c r="C81" s="147"/>
      <c r="D81" s="184" t="s">
        <v>1136</v>
      </c>
      <c r="E81" s="166" t="s">
        <v>1137</v>
      </c>
      <c r="F81" s="168" t="s">
        <v>1138</v>
      </c>
      <c r="G81" s="165" t="s">
        <v>590</v>
      </c>
      <c r="H81" s="133" t="s">
        <v>1142</v>
      </c>
      <c r="I81" s="147" t="s">
        <v>32</v>
      </c>
      <c r="J81" s="133" t="s">
        <v>1142</v>
      </c>
      <c r="K81" s="147" t="s">
        <v>591</v>
      </c>
      <c r="L81" s="133">
        <v>577</v>
      </c>
      <c r="M81" s="147">
        <v>5</v>
      </c>
      <c r="N81" s="147">
        <v>0</v>
      </c>
      <c r="O81" s="166">
        <v>2</v>
      </c>
      <c r="P81" s="166" t="s">
        <v>592</v>
      </c>
      <c r="Q81" s="171"/>
    </row>
    <row r="82" spans="1:17" ht="30">
      <c r="A82" s="153" t="s">
        <v>294</v>
      </c>
      <c r="B82" s="82" t="s">
        <v>1143</v>
      </c>
      <c r="C82" s="147"/>
      <c r="D82" s="184" t="s">
        <v>1136</v>
      </c>
      <c r="E82" s="166" t="s">
        <v>1137</v>
      </c>
      <c r="F82" s="168" t="s">
        <v>1138</v>
      </c>
      <c r="G82" s="165" t="s">
        <v>593</v>
      </c>
      <c r="H82" s="133" t="s">
        <v>1143</v>
      </c>
      <c r="I82" s="147" t="s">
        <v>32</v>
      </c>
      <c r="J82" s="133" t="s">
        <v>1143</v>
      </c>
      <c r="K82" s="147" t="s">
        <v>594</v>
      </c>
      <c r="L82" s="133">
        <v>581</v>
      </c>
      <c r="M82" s="147">
        <v>5</v>
      </c>
      <c r="N82" s="147">
        <v>0</v>
      </c>
      <c r="O82" s="166">
        <v>2</v>
      </c>
      <c r="P82" s="166" t="s">
        <v>595</v>
      </c>
      <c r="Q82" s="171"/>
    </row>
    <row r="83" spans="1:17" ht="30">
      <c r="A83" s="153" t="s">
        <v>296</v>
      </c>
      <c r="B83" s="82" t="s">
        <v>1144</v>
      </c>
      <c r="C83" s="147"/>
      <c r="D83" s="184" t="s">
        <v>1136</v>
      </c>
      <c r="E83" s="166" t="s">
        <v>1137</v>
      </c>
      <c r="F83" s="168" t="s">
        <v>1138</v>
      </c>
      <c r="G83" s="165" t="s">
        <v>596</v>
      </c>
      <c r="H83" s="133" t="s">
        <v>1144</v>
      </c>
      <c r="I83" s="147" t="s">
        <v>32</v>
      </c>
      <c r="J83" s="133" t="s">
        <v>1144</v>
      </c>
      <c r="K83" s="147" t="s">
        <v>597</v>
      </c>
      <c r="L83" s="133">
        <v>582</v>
      </c>
      <c r="M83" s="147">
        <v>5</v>
      </c>
      <c r="N83" s="147">
        <v>0</v>
      </c>
      <c r="O83" s="166">
        <v>2</v>
      </c>
      <c r="P83" s="166" t="s">
        <v>598</v>
      </c>
      <c r="Q83" s="171"/>
    </row>
    <row r="84" spans="1:17" ht="30">
      <c r="A84" s="153" t="s">
        <v>298</v>
      </c>
      <c r="B84" s="82" t="s">
        <v>1145</v>
      </c>
      <c r="C84" s="147"/>
      <c r="D84" s="184" t="s">
        <v>1136</v>
      </c>
      <c r="E84" s="166" t="s">
        <v>1137</v>
      </c>
      <c r="F84" s="168" t="s">
        <v>1138</v>
      </c>
      <c r="G84" s="165" t="s">
        <v>599</v>
      </c>
      <c r="H84" s="133" t="s">
        <v>1145</v>
      </c>
      <c r="I84" s="147" t="s">
        <v>32</v>
      </c>
      <c r="J84" s="133" t="s">
        <v>1145</v>
      </c>
      <c r="K84" s="147" t="s">
        <v>600</v>
      </c>
      <c r="L84" s="133">
        <v>579</v>
      </c>
      <c r="M84" s="147">
        <v>5</v>
      </c>
      <c r="N84" s="147">
        <v>0</v>
      </c>
      <c r="O84" s="166">
        <v>2</v>
      </c>
      <c r="P84" s="166" t="s">
        <v>601</v>
      </c>
      <c r="Q84" s="171"/>
    </row>
    <row r="85" spans="1:17" ht="30">
      <c r="A85" s="153" t="s">
        <v>300</v>
      </c>
      <c r="B85" s="82" t="s">
        <v>1146</v>
      </c>
      <c r="C85" s="147"/>
      <c r="D85" s="185" t="s">
        <v>1132</v>
      </c>
      <c r="E85" s="163" t="s">
        <v>1134</v>
      </c>
      <c r="F85" s="164" t="s">
        <v>1134</v>
      </c>
      <c r="G85" s="165" t="s">
        <v>602</v>
      </c>
      <c r="H85" s="133" t="s">
        <v>1146</v>
      </c>
      <c r="I85" s="147" t="s">
        <v>32</v>
      </c>
      <c r="J85" s="133" t="s">
        <v>1146</v>
      </c>
      <c r="K85" s="147" t="s">
        <v>603</v>
      </c>
      <c r="L85" s="133">
        <v>588</v>
      </c>
      <c r="M85" s="147">
        <v>5</v>
      </c>
      <c r="N85" s="147">
        <v>0</v>
      </c>
      <c r="O85" s="166">
        <v>2</v>
      </c>
      <c r="P85" s="166" t="s">
        <v>604</v>
      </c>
      <c r="Q85" s="171"/>
    </row>
    <row r="86" spans="1:17" ht="30">
      <c r="A86" s="153" t="s">
        <v>302</v>
      </c>
      <c r="B86" s="82" t="s">
        <v>1147</v>
      </c>
      <c r="C86" s="147"/>
      <c r="D86" s="184" t="s">
        <v>1047</v>
      </c>
      <c r="E86" s="166" t="s">
        <v>1148</v>
      </c>
      <c r="F86" s="168" t="s">
        <v>1149</v>
      </c>
      <c r="G86" s="165" t="s">
        <v>605</v>
      </c>
      <c r="H86" s="133" t="s">
        <v>1147</v>
      </c>
      <c r="I86" s="147" t="s">
        <v>32</v>
      </c>
      <c r="J86" s="133" t="s">
        <v>1147</v>
      </c>
      <c r="K86" s="147" t="s">
        <v>606</v>
      </c>
      <c r="L86" s="133">
        <v>585</v>
      </c>
      <c r="M86" s="147">
        <v>5</v>
      </c>
      <c r="N86" s="147">
        <v>0</v>
      </c>
      <c r="O86" s="166">
        <v>2</v>
      </c>
      <c r="P86" s="166" t="s">
        <v>607</v>
      </c>
      <c r="Q86" s="171"/>
    </row>
    <row r="87" spans="1:17" ht="30">
      <c r="A87" s="153" t="s">
        <v>304</v>
      </c>
      <c r="B87" s="82" t="s">
        <v>1150</v>
      </c>
      <c r="C87" s="147"/>
      <c r="D87" s="184" t="s">
        <v>1047</v>
      </c>
      <c r="E87" s="166" t="s">
        <v>1148</v>
      </c>
      <c r="F87" s="168" t="s">
        <v>1149</v>
      </c>
      <c r="G87" s="165" t="s">
        <v>608</v>
      </c>
      <c r="H87" s="133" t="s">
        <v>1150</v>
      </c>
      <c r="I87" s="147" t="s">
        <v>32</v>
      </c>
      <c r="J87" s="133" t="s">
        <v>1150</v>
      </c>
      <c r="K87" s="147" t="s">
        <v>609</v>
      </c>
      <c r="L87" s="133">
        <v>583</v>
      </c>
      <c r="M87" s="147">
        <v>5</v>
      </c>
      <c r="N87" s="147">
        <v>0</v>
      </c>
      <c r="O87" s="166">
        <v>2</v>
      </c>
      <c r="P87" s="166" t="s">
        <v>610</v>
      </c>
      <c r="Q87" s="171"/>
    </row>
    <row r="88" spans="1:17" ht="30">
      <c r="A88" s="153" t="s">
        <v>306</v>
      </c>
      <c r="B88" s="82" t="s">
        <v>1151</v>
      </c>
      <c r="C88" s="147"/>
      <c r="D88" s="184" t="s">
        <v>1047</v>
      </c>
      <c r="E88" s="166" t="s">
        <v>1148</v>
      </c>
      <c r="F88" s="168" t="s">
        <v>1149</v>
      </c>
      <c r="G88" s="165" t="s">
        <v>611</v>
      </c>
      <c r="H88" s="133" t="s">
        <v>1151</v>
      </c>
      <c r="I88" s="147" t="s">
        <v>32</v>
      </c>
      <c r="J88" s="133" t="s">
        <v>1151</v>
      </c>
      <c r="K88" s="147" t="s">
        <v>612</v>
      </c>
      <c r="L88" s="133">
        <v>584</v>
      </c>
      <c r="M88" s="147">
        <v>5</v>
      </c>
      <c r="N88" s="147">
        <v>0</v>
      </c>
      <c r="O88" s="166">
        <v>2</v>
      </c>
      <c r="P88" s="166" t="s">
        <v>613</v>
      </c>
      <c r="Q88" s="171"/>
    </row>
    <row r="89" spans="1:17" ht="30">
      <c r="A89" s="153" t="s">
        <v>308</v>
      </c>
      <c r="B89" s="82" t="s">
        <v>1152</v>
      </c>
      <c r="C89" s="147"/>
      <c r="D89" s="184" t="s">
        <v>1047</v>
      </c>
      <c r="E89" s="166" t="s">
        <v>1148</v>
      </c>
      <c r="F89" s="168" t="s">
        <v>1149</v>
      </c>
      <c r="G89" s="165" t="s">
        <v>614</v>
      </c>
      <c r="H89" s="133" t="s">
        <v>1152</v>
      </c>
      <c r="I89" s="147" t="s">
        <v>32</v>
      </c>
      <c r="J89" s="133" t="s">
        <v>1152</v>
      </c>
      <c r="K89" s="147" t="s">
        <v>615</v>
      </c>
      <c r="L89" s="133">
        <v>586</v>
      </c>
      <c r="M89" s="147">
        <v>5</v>
      </c>
      <c r="N89" s="147">
        <v>0</v>
      </c>
      <c r="O89" s="166">
        <v>2</v>
      </c>
      <c r="P89" s="166" t="s">
        <v>616</v>
      </c>
      <c r="Q89" s="171"/>
    </row>
    <row r="90" spans="1:17" ht="30">
      <c r="A90" s="153" t="s">
        <v>310</v>
      </c>
      <c r="B90" s="82" t="s">
        <v>1153</v>
      </c>
      <c r="C90" s="147"/>
      <c r="D90" s="185" t="s">
        <v>1132</v>
      </c>
      <c r="E90" s="163" t="s">
        <v>1134</v>
      </c>
      <c r="F90" s="164" t="s">
        <v>1134</v>
      </c>
      <c r="G90" s="165" t="s">
        <v>617</v>
      </c>
      <c r="H90" s="133" t="s">
        <v>1153</v>
      </c>
      <c r="I90" s="147" t="s">
        <v>32</v>
      </c>
      <c r="J90" s="133" t="s">
        <v>1153</v>
      </c>
      <c r="K90" s="147" t="s">
        <v>618</v>
      </c>
      <c r="L90" s="133">
        <v>590</v>
      </c>
      <c r="M90" s="147">
        <v>5</v>
      </c>
      <c r="N90" s="147">
        <v>0</v>
      </c>
      <c r="O90" s="166">
        <v>2</v>
      </c>
      <c r="P90" s="166" t="s">
        <v>619</v>
      </c>
      <c r="Q90" s="171"/>
    </row>
    <row r="91" spans="1:17" ht="30">
      <c r="A91" s="153" t="s">
        <v>312</v>
      </c>
      <c r="B91" s="82" t="s">
        <v>1154</v>
      </c>
      <c r="C91" s="147"/>
      <c r="D91" s="184" t="s">
        <v>1136</v>
      </c>
      <c r="E91" s="166" t="s">
        <v>1155</v>
      </c>
      <c r="F91" s="168" t="s">
        <v>1138</v>
      </c>
      <c r="G91" s="165" t="s">
        <v>620</v>
      </c>
      <c r="H91" s="133" t="s">
        <v>1154</v>
      </c>
      <c r="I91" s="147" t="s">
        <v>32</v>
      </c>
      <c r="J91" s="133" t="s">
        <v>1154</v>
      </c>
      <c r="K91" s="147" t="s">
        <v>621</v>
      </c>
      <c r="L91" s="133">
        <v>580</v>
      </c>
      <c r="M91" s="147">
        <v>5</v>
      </c>
      <c r="N91" s="147">
        <v>0</v>
      </c>
      <c r="O91" s="166">
        <v>2</v>
      </c>
      <c r="P91" s="166" t="s">
        <v>622</v>
      </c>
      <c r="Q91" s="171"/>
    </row>
    <row r="92" spans="1:17" ht="30">
      <c r="A92" s="153" t="s">
        <v>314</v>
      </c>
      <c r="B92" s="82" t="s">
        <v>1156</v>
      </c>
      <c r="C92" s="147"/>
      <c r="D92" s="183" t="s">
        <v>1042</v>
      </c>
      <c r="E92" s="163" t="s">
        <v>1043</v>
      </c>
      <c r="F92" s="164" t="s">
        <v>1044</v>
      </c>
      <c r="G92" s="165" t="s">
        <v>78</v>
      </c>
      <c r="H92" s="133" t="s">
        <v>1156</v>
      </c>
      <c r="I92" s="147" t="s">
        <v>32</v>
      </c>
      <c r="J92" s="133" t="s">
        <v>1156</v>
      </c>
      <c r="K92" s="147" t="s">
        <v>79</v>
      </c>
      <c r="L92" s="133">
        <v>5</v>
      </c>
      <c r="M92" s="147">
        <v>0</v>
      </c>
      <c r="N92" s="147">
        <v>0</v>
      </c>
      <c r="O92" s="166">
        <v>2</v>
      </c>
      <c r="P92" s="166" t="s">
        <v>80</v>
      </c>
      <c r="Q92" s="167"/>
    </row>
    <row r="93" spans="1:17" ht="30">
      <c r="A93" s="153" t="s">
        <v>316</v>
      </c>
      <c r="B93" s="82" t="s">
        <v>1157</v>
      </c>
      <c r="C93" s="147"/>
      <c r="D93" s="184" t="s">
        <v>1158</v>
      </c>
      <c r="E93" s="166" t="s">
        <v>1138</v>
      </c>
      <c r="F93" s="168" t="s">
        <v>1138</v>
      </c>
      <c r="G93" s="165" t="s">
        <v>81</v>
      </c>
      <c r="H93" s="133" t="s">
        <v>1157</v>
      </c>
      <c r="I93" s="147" t="s">
        <v>32</v>
      </c>
      <c r="J93" s="133" t="s">
        <v>1157</v>
      </c>
      <c r="K93" s="147" t="s">
        <v>82</v>
      </c>
      <c r="L93" s="133">
        <v>28</v>
      </c>
      <c r="M93" s="147">
        <v>0</v>
      </c>
      <c r="N93" s="147">
        <v>0</v>
      </c>
      <c r="O93" s="166">
        <v>2</v>
      </c>
      <c r="P93" s="166" t="s">
        <v>83</v>
      </c>
      <c r="Q93" s="167"/>
    </row>
    <row r="94" spans="1:17" ht="30">
      <c r="A94" s="153" t="s">
        <v>318</v>
      </c>
      <c r="B94" s="82" t="s">
        <v>1159</v>
      </c>
      <c r="C94" s="147"/>
      <c r="D94" s="183" t="s">
        <v>1160</v>
      </c>
      <c r="E94" s="163" t="s">
        <v>1160</v>
      </c>
      <c r="F94" s="164" t="s">
        <v>1160</v>
      </c>
      <c r="G94" s="165" t="s">
        <v>623</v>
      </c>
      <c r="H94" s="133" t="s">
        <v>1159</v>
      </c>
      <c r="I94" s="147" t="s">
        <v>32</v>
      </c>
      <c r="J94" s="133" t="s">
        <v>1159</v>
      </c>
      <c r="K94" s="147" t="s">
        <v>624</v>
      </c>
      <c r="L94" s="133">
        <v>894</v>
      </c>
      <c r="M94" s="147">
        <v>0</v>
      </c>
      <c r="N94" s="147">
        <v>0</v>
      </c>
      <c r="O94" s="166">
        <v>2</v>
      </c>
      <c r="P94" s="166" t="s">
        <v>625</v>
      </c>
      <c r="Q94" s="167"/>
    </row>
    <row r="95" spans="1:17" ht="30">
      <c r="A95" s="262" t="s">
        <v>320</v>
      </c>
      <c r="B95" s="259" t="s">
        <v>1161</v>
      </c>
      <c r="C95" s="208"/>
      <c r="D95" s="267" t="s">
        <v>1042</v>
      </c>
      <c r="E95" s="268" t="s">
        <v>1043</v>
      </c>
      <c r="F95" s="269" t="s">
        <v>1044</v>
      </c>
      <c r="G95" s="260" t="s">
        <v>84</v>
      </c>
      <c r="H95" s="258" t="s">
        <v>1161</v>
      </c>
      <c r="I95" s="208" t="s">
        <v>32</v>
      </c>
      <c r="J95" s="258" t="s">
        <v>1161</v>
      </c>
      <c r="K95" s="208" t="s">
        <v>85</v>
      </c>
      <c r="L95" s="258">
        <v>6</v>
      </c>
      <c r="M95" s="208">
        <v>0</v>
      </c>
      <c r="N95" s="208">
        <v>0</v>
      </c>
      <c r="O95" s="261">
        <v>2</v>
      </c>
      <c r="P95" s="261" t="s">
        <v>86</v>
      </c>
      <c r="Q95" s="167"/>
    </row>
    <row r="96" spans="1:17" ht="30">
      <c r="A96" s="262" t="s">
        <v>322</v>
      </c>
      <c r="B96" s="259" t="s">
        <v>1162</v>
      </c>
      <c r="C96" s="208"/>
      <c r="D96" s="270" t="s">
        <v>1163</v>
      </c>
      <c r="E96" s="258" t="s">
        <v>1163</v>
      </c>
      <c r="F96" s="259" t="s">
        <v>1163</v>
      </c>
      <c r="G96" s="260" t="s">
        <v>84</v>
      </c>
      <c r="H96" s="258" t="s">
        <v>1161</v>
      </c>
      <c r="I96" s="208" t="s">
        <v>32</v>
      </c>
      <c r="J96" s="258" t="s">
        <v>1162</v>
      </c>
      <c r="K96" s="208" t="s">
        <v>85</v>
      </c>
      <c r="L96" s="258">
        <v>869</v>
      </c>
      <c r="M96" s="208">
        <v>19</v>
      </c>
      <c r="N96" s="208">
        <v>0</v>
      </c>
      <c r="O96" s="261">
        <v>2</v>
      </c>
      <c r="P96" s="261" t="s">
        <v>626</v>
      </c>
      <c r="Q96" s="167"/>
    </row>
    <row r="97" spans="1:17" ht="30">
      <c r="A97" s="262" t="s">
        <v>323</v>
      </c>
      <c r="B97" s="258" t="s">
        <v>1290</v>
      </c>
      <c r="C97" s="208"/>
      <c r="D97" s="258" t="s">
        <v>1288</v>
      </c>
      <c r="E97" s="258" t="s">
        <v>1288</v>
      </c>
      <c r="F97" s="259" t="s">
        <v>1289</v>
      </c>
      <c r="G97" s="260" t="s">
        <v>84</v>
      </c>
      <c r="H97" s="258" t="s">
        <v>1290</v>
      </c>
      <c r="I97" s="208" t="s">
        <v>32</v>
      </c>
      <c r="J97" s="258" t="s">
        <v>1290</v>
      </c>
      <c r="K97" s="208" t="s">
        <v>85</v>
      </c>
      <c r="L97" s="258">
        <v>1042</v>
      </c>
      <c r="M97" s="208">
        <v>19</v>
      </c>
      <c r="N97" s="208">
        <v>0</v>
      </c>
      <c r="O97" s="261">
        <v>2</v>
      </c>
      <c r="P97" s="261" t="s">
        <v>627</v>
      </c>
      <c r="Q97" s="167" t="s">
        <v>1304</v>
      </c>
    </row>
    <row r="98" spans="1:17" ht="30">
      <c r="A98" s="262" t="s">
        <v>324</v>
      </c>
      <c r="B98" s="259" t="s">
        <v>1164</v>
      </c>
      <c r="C98" s="208"/>
      <c r="D98" s="263" t="s">
        <v>1118</v>
      </c>
      <c r="E98" s="261" t="s">
        <v>1052</v>
      </c>
      <c r="F98" s="266" t="s">
        <v>1069</v>
      </c>
      <c r="G98" s="260" t="s">
        <v>84</v>
      </c>
      <c r="H98" s="258" t="s">
        <v>1161</v>
      </c>
      <c r="I98" s="208" t="s">
        <v>488</v>
      </c>
      <c r="J98" s="258" t="s">
        <v>1164</v>
      </c>
      <c r="K98" s="208" t="s">
        <v>87</v>
      </c>
      <c r="L98" s="258">
        <v>29</v>
      </c>
      <c r="M98" s="208">
        <v>0</v>
      </c>
      <c r="N98" s="208">
        <v>0</v>
      </c>
      <c r="O98" s="261">
        <v>2</v>
      </c>
      <c r="P98" s="261" t="s">
        <v>88</v>
      </c>
      <c r="Q98" s="167"/>
    </row>
    <row r="99" spans="1:17" ht="30">
      <c r="A99" s="262" t="s">
        <v>325</v>
      </c>
      <c r="B99" s="259" t="s">
        <v>1165</v>
      </c>
      <c r="C99" s="208"/>
      <c r="D99" s="270" t="s">
        <v>1163</v>
      </c>
      <c r="E99" s="258" t="s">
        <v>1163</v>
      </c>
      <c r="F99" s="259" t="s">
        <v>1163</v>
      </c>
      <c r="G99" s="260" t="s">
        <v>628</v>
      </c>
      <c r="H99" s="258" t="s">
        <v>1165</v>
      </c>
      <c r="I99" s="208" t="s">
        <v>32</v>
      </c>
      <c r="J99" s="258" t="s">
        <v>1165</v>
      </c>
      <c r="K99" s="208" t="s">
        <v>629</v>
      </c>
      <c r="L99" s="258">
        <v>870</v>
      </c>
      <c r="M99" s="208">
        <v>19</v>
      </c>
      <c r="N99" s="208">
        <v>0</v>
      </c>
      <c r="O99" s="261">
        <v>2</v>
      </c>
      <c r="P99" s="261" t="s">
        <v>630</v>
      </c>
      <c r="Q99" s="167"/>
    </row>
    <row r="100" spans="1:17" ht="30">
      <c r="A100" s="262" t="s">
        <v>327</v>
      </c>
      <c r="B100" s="259" t="s">
        <v>1166</v>
      </c>
      <c r="C100" s="208"/>
      <c r="D100" s="267" t="s">
        <v>1160</v>
      </c>
      <c r="E100" s="268" t="s">
        <v>1160</v>
      </c>
      <c r="F100" s="269" t="s">
        <v>1160</v>
      </c>
      <c r="G100" s="260" t="s">
        <v>631</v>
      </c>
      <c r="H100" s="258" t="s">
        <v>1166</v>
      </c>
      <c r="I100" s="208" t="s">
        <v>32</v>
      </c>
      <c r="J100" s="258" t="s">
        <v>1166</v>
      </c>
      <c r="K100" s="208" t="s">
        <v>632</v>
      </c>
      <c r="L100" s="258">
        <v>895</v>
      </c>
      <c r="M100" s="208">
        <v>0</v>
      </c>
      <c r="N100" s="208">
        <v>0</v>
      </c>
      <c r="O100" s="261">
        <v>2</v>
      </c>
      <c r="P100" s="261" t="s">
        <v>633</v>
      </c>
      <c r="Q100" s="167"/>
    </row>
    <row r="101" spans="1:17" ht="30">
      <c r="A101" s="262" t="s">
        <v>329</v>
      </c>
      <c r="B101" s="259" t="s">
        <v>1167</v>
      </c>
      <c r="C101" s="208"/>
      <c r="D101" s="267" t="s">
        <v>1168</v>
      </c>
      <c r="E101" s="268" t="s">
        <v>1168</v>
      </c>
      <c r="F101" s="269" t="s">
        <v>1168</v>
      </c>
      <c r="G101" s="260" t="s">
        <v>634</v>
      </c>
      <c r="H101" s="258" t="s">
        <v>1167</v>
      </c>
      <c r="I101" s="208" t="s">
        <v>32</v>
      </c>
      <c r="J101" s="258" t="s">
        <v>1167</v>
      </c>
      <c r="K101" s="208" t="s">
        <v>635</v>
      </c>
      <c r="L101" s="258">
        <v>896</v>
      </c>
      <c r="M101" s="208">
        <v>0</v>
      </c>
      <c r="N101" s="208">
        <v>0</v>
      </c>
      <c r="O101" s="261">
        <v>2</v>
      </c>
      <c r="P101" s="261" t="s">
        <v>636</v>
      </c>
      <c r="Q101" s="167"/>
    </row>
    <row r="102" spans="1:17" ht="30">
      <c r="A102" s="262" t="s">
        <v>331</v>
      </c>
      <c r="B102" s="259" t="s">
        <v>332</v>
      </c>
      <c r="C102" s="208"/>
      <c r="D102" s="258" t="s">
        <v>1288</v>
      </c>
      <c r="E102" s="258" t="s">
        <v>1288</v>
      </c>
      <c r="F102" s="259" t="s">
        <v>1289</v>
      </c>
      <c r="G102" s="260" t="s">
        <v>637</v>
      </c>
      <c r="H102" s="258" t="s">
        <v>332</v>
      </c>
      <c r="I102" s="208" t="s">
        <v>32</v>
      </c>
      <c r="J102" s="258" t="s">
        <v>332</v>
      </c>
      <c r="K102" s="208" t="s">
        <v>638</v>
      </c>
      <c r="L102" s="258">
        <v>1043</v>
      </c>
      <c r="M102" s="208">
        <v>19</v>
      </c>
      <c r="N102" s="208">
        <v>0</v>
      </c>
      <c r="O102" s="261">
        <v>2</v>
      </c>
      <c r="P102" s="261" t="s">
        <v>639</v>
      </c>
      <c r="Q102" s="167" t="s">
        <v>1304</v>
      </c>
    </row>
    <row r="103" spans="1:17" ht="30">
      <c r="A103" s="262" t="s">
        <v>333</v>
      </c>
      <c r="B103" s="259" t="s">
        <v>1169</v>
      </c>
      <c r="C103" s="208"/>
      <c r="D103" s="267" t="s">
        <v>1042</v>
      </c>
      <c r="E103" s="268" t="s">
        <v>1061</v>
      </c>
      <c r="F103" s="269" t="s">
        <v>1062</v>
      </c>
      <c r="G103" s="260" t="s">
        <v>89</v>
      </c>
      <c r="H103" s="258" t="s">
        <v>1169</v>
      </c>
      <c r="I103" s="208" t="s">
        <v>32</v>
      </c>
      <c r="J103" s="258" t="s">
        <v>1169</v>
      </c>
      <c r="K103" s="208" t="s">
        <v>90</v>
      </c>
      <c r="L103" s="258">
        <v>18</v>
      </c>
      <c r="M103" s="208">
        <v>0</v>
      </c>
      <c r="N103" s="208">
        <v>0</v>
      </c>
      <c r="O103" s="261">
        <v>2</v>
      </c>
      <c r="P103" s="261" t="s">
        <v>91</v>
      </c>
      <c r="Q103" s="167"/>
    </row>
    <row r="104" spans="1:17" ht="30">
      <c r="A104" s="262" t="s">
        <v>335</v>
      </c>
      <c r="B104" s="259" t="s">
        <v>1170</v>
      </c>
      <c r="C104" s="208"/>
      <c r="D104" s="263" t="s">
        <v>1056</v>
      </c>
      <c r="E104" s="261" t="s">
        <v>1052</v>
      </c>
      <c r="F104" s="266" t="s">
        <v>1057</v>
      </c>
      <c r="G104" s="260" t="s">
        <v>92</v>
      </c>
      <c r="H104" s="258" t="s">
        <v>1170</v>
      </c>
      <c r="I104" s="208" t="s">
        <v>488</v>
      </c>
      <c r="J104" s="258" t="s">
        <v>1170</v>
      </c>
      <c r="K104" s="208" t="s">
        <v>93</v>
      </c>
      <c r="L104" s="258">
        <v>30</v>
      </c>
      <c r="M104" s="208">
        <v>0</v>
      </c>
      <c r="N104" s="208">
        <v>0</v>
      </c>
      <c r="O104" s="261">
        <v>2</v>
      </c>
      <c r="P104" s="261" t="s">
        <v>94</v>
      </c>
      <c r="Q104" s="167"/>
    </row>
    <row r="105" spans="1:17" ht="30">
      <c r="A105" s="257" t="s">
        <v>336</v>
      </c>
      <c r="B105" s="259" t="s">
        <v>1171</v>
      </c>
      <c r="C105" s="208"/>
      <c r="D105" s="270" t="s">
        <v>1172</v>
      </c>
      <c r="E105" s="258" t="s">
        <v>1173</v>
      </c>
      <c r="F105" s="259" t="s">
        <v>1173</v>
      </c>
      <c r="G105" s="260" t="s">
        <v>641</v>
      </c>
      <c r="H105" s="258" t="s">
        <v>1171</v>
      </c>
      <c r="I105" s="208" t="s">
        <v>32</v>
      </c>
      <c r="J105" s="258" t="s">
        <v>1171</v>
      </c>
      <c r="K105" s="208" t="s">
        <v>642</v>
      </c>
      <c r="L105" s="258">
        <v>863</v>
      </c>
      <c r="M105" s="208">
        <v>17</v>
      </c>
      <c r="N105" s="208">
        <v>0</v>
      </c>
      <c r="O105" s="258">
        <v>2</v>
      </c>
      <c r="P105" s="258" t="s">
        <v>643</v>
      </c>
      <c r="Q105" s="171"/>
    </row>
    <row r="106" spans="1:17" ht="30">
      <c r="A106" s="153" t="s">
        <v>338</v>
      </c>
      <c r="B106" s="82" t="s">
        <v>1174</v>
      </c>
      <c r="C106" s="147"/>
      <c r="D106" s="183" t="s">
        <v>1042</v>
      </c>
      <c r="E106" s="163" t="s">
        <v>1061</v>
      </c>
      <c r="F106" s="164" t="s">
        <v>1062</v>
      </c>
      <c r="G106" s="165" t="s">
        <v>95</v>
      </c>
      <c r="H106" s="133" t="s">
        <v>1174</v>
      </c>
      <c r="I106" s="147" t="s">
        <v>32</v>
      </c>
      <c r="J106" s="133" t="s">
        <v>1174</v>
      </c>
      <c r="K106" s="147" t="s">
        <v>96</v>
      </c>
      <c r="L106" s="133">
        <v>15</v>
      </c>
      <c r="M106" s="147">
        <v>0</v>
      </c>
      <c r="N106" s="147">
        <v>0</v>
      </c>
      <c r="O106" s="166">
        <v>2</v>
      </c>
      <c r="P106" s="166" t="s">
        <v>97</v>
      </c>
      <c r="Q106" s="167"/>
    </row>
    <row r="107" spans="1:17" ht="30">
      <c r="A107" s="153" t="s">
        <v>340</v>
      </c>
      <c r="B107" s="181" t="s">
        <v>1175</v>
      </c>
      <c r="C107" s="147"/>
      <c r="D107" s="183" t="s">
        <v>1042</v>
      </c>
      <c r="E107" s="163" t="s">
        <v>1043</v>
      </c>
      <c r="F107" s="164" t="s">
        <v>1044</v>
      </c>
      <c r="G107" s="165" t="s">
        <v>98</v>
      </c>
      <c r="H107" s="155" t="s">
        <v>1175</v>
      </c>
      <c r="I107" s="147" t="s">
        <v>32</v>
      </c>
      <c r="J107" s="155" t="s">
        <v>1175</v>
      </c>
      <c r="K107" s="147" t="s">
        <v>99</v>
      </c>
      <c r="L107" s="133">
        <v>7</v>
      </c>
      <c r="M107" s="147">
        <v>0</v>
      </c>
      <c r="N107" s="147">
        <v>0</v>
      </c>
      <c r="O107" s="166">
        <v>2</v>
      </c>
      <c r="P107" s="166" t="s">
        <v>100</v>
      </c>
      <c r="Q107" s="167"/>
    </row>
    <row r="108" spans="1:17" ht="30">
      <c r="A108" s="153" t="s">
        <v>342</v>
      </c>
      <c r="B108" s="82" t="s">
        <v>1176</v>
      </c>
      <c r="C108" s="147"/>
      <c r="D108" s="183" t="s">
        <v>1042</v>
      </c>
      <c r="E108" s="163" t="s">
        <v>1061</v>
      </c>
      <c r="F108" s="164" t="s">
        <v>1062</v>
      </c>
      <c r="G108" s="165" t="s">
        <v>102</v>
      </c>
      <c r="H108" s="133" t="s">
        <v>1176</v>
      </c>
      <c r="I108" s="147" t="s">
        <v>32</v>
      </c>
      <c r="J108" s="133" t="s">
        <v>1176</v>
      </c>
      <c r="K108" s="147" t="s">
        <v>103</v>
      </c>
      <c r="L108" s="133">
        <v>16</v>
      </c>
      <c r="M108" s="147">
        <v>0</v>
      </c>
      <c r="N108" s="147">
        <v>0</v>
      </c>
      <c r="O108" s="166">
        <v>2</v>
      </c>
      <c r="P108" s="166" t="s">
        <v>104</v>
      </c>
      <c r="Q108" s="167"/>
    </row>
    <row r="109" spans="1:17" ht="30">
      <c r="A109" s="153" t="s">
        <v>344</v>
      </c>
      <c r="B109" s="82" t="s">
        <v>1177</v>
      </c>
      <c r="C109" s="147"/>
      <c r="D109" s="184" t="s">
        <v>1118</v>
      </c>
      <c r="E109" s="166" t="s">
        <v>1178</v>
      </c>
      <c r="F109" s="168" t="s">
        <v>1069</v>
      </c>
      <c r="G109" s="165" t="s">
        <v>105</v>
      </c>
      <c r="H109" s="133" t="s">
        <v>1177</v>
      </c>
      <c r="I109" s="147" t="s">
        <v>32</v>
      </c>
      <c r="J109" s="133" t="s">
        <v>1177</v>
      </c>
      <c r="K109" s="147" t="s">
        <v>106</v>
      </c>
      <c r="L109" s="133">
        <v>32</v>
      </c>
      <c r="M109" s="147">
        <v>0</v>
      </c>
      <c r="N109" s="147">
        <v>0</v>
      </c>
      <c r="O109" s="166">
        <v>2</v>
      </c>
      <c r="P109" s="166" t="s">
        <v>107</v>
      </c>
      <c r="Q109" s="167"/>
    </row>
    <row r="110" spans="1:17" ht="30">
      <c r="A110" s="153" t="s">
        <v>346</v>
      </c>
      <c r="B110" s="82" t="s">
        <v>1179</v>
      </c>
      <c r="C110" s="147"/>
      <c r="D110" s="184" t="s">
        <v>1118</v>
      </c>
      <c r="E110" s="166" t="s">
        <v>1180</v>
      </c>
      <c r="F110" s="168" t="s">
        <v>1069</v>
      </c>
      <c r="G110" s="165" t="s">
        <v>108</v>
      </c>
      <c r="H110" s="133" t="s">
        <v>1179</v>
      </c>
      <c r="I110" s="147" t="s">
        <v>32</v>
      </c>
      <c r="J110" s="133" t="s">
        <v>1179</v>
      </c>
      <c r="K110" s="147" t="s">
        <v>109</v>
      </c>
      <c r="L110" s="133">
        <v>31</v>
      </c>
      <c r="M110" s="147">
        <v>0</v>
      </c>
      <c r="N110" s="147">
        <v>0</v>
      </c>
      <c r="O110" s="166">
        <v>2</v>
      </c>
      <c r="P110" s="166" t="s">
        <v>110</v>
      </c>
      <c r="Q110" s="167"/>
    </row>
    <row r="111" spans="1:17" ht="30">
      <c r="A111" s="153" t="s">
        <v>348</v>
      </c>
      <c r="B111" s="181" t="s">
        <v>1181</v>
      </c>
      <c r="C111" s="147"/>
      <c r="D111" s="184" t="s">
        <v>1182</v>
      </c>
      <c r="E111" s="166" t="s">
        <v>1183</v>
      </c>
      <c r="F111" s="168" t="s">
        <v>1183</v>
      </c>
      <c r="G111" s="165" t="s">
        <v>111</v>
      </c>
      <c r="H111" s="155" t="s">
        <v>1181</v>
      </c>
      <c r="I111" s="147" t="s">
        <v>32</v>
      </c>
      <c r="J111" s="155" t="s">
        <v>1181</v>
      </c>
      <c r="K111" s="147" t="s">
        <v>112</v>
      </c>
      <c r="L111" s="133">
        <v>45</v>
      </c>
      <c r="M111" s="147">
        <v>0</v>
      </c>
      <c r="N111" s="147">
        <v>0</v>
      </c>
      <c r="O111" s="166">
        <v>2</v>
      </c>
      <c r="P111" s="166" t="s">
        <v>113</v>
      </c>
      <c r="Q111" s="167"/>
    </row>
    <row r="112" spans="1:17" ht="75">
      <c r="A112" s="153" t="s">
        <v>350</v>
      </c>
      <c r="B112" s="82" t="s">
        <v>1184</v>
      </c>
      <c r="C112" s="147"/>
      <c r="D112" s="184" t="s">
        <v>1182</v>
      </c>
      <c r="E112" s="166" t="s">
        <v>1185</v>
      </c>
      <c r="F112" s="168" t="s">
        <v>1185</v>
      </c>
      <c r="G112" s="165" t="s">
        <v>115</v>
      </c>
      <c r="H112" s="133" t="s">
        <v>1184</v>
      </c>
      <c r="I112" s="147" t="s">
        <v>32</v>
      </c>
      <c r="J112" s="133" t="s">
        <v>1184</v>
      </c>
      <c r="K112" s="147" t="s">
        <v>116</v>
      </c>
      <c r="L112" s="133">
        <v>46</v>
      </c>
      <c r="M112" s="147">
        <v>0</v>
      </c>
      <c r="N112" s="147">
        <v>0</v>
      </c>
      <c r="O112" s="166">
        <v>2</v>
      </c>
      <c r="P112" s="166" t="s">
        <v>117</v>
      </c>
      <c r="Q112" s="167" t="s">
        <v>1305</v>
      </c>
    </row>
    <row r="113" spans="1:17" ht="75">
      <c r="A113" s="153" t="s">
        <v>352</v>
      </c>
      <c r="B113" s="82" t="s">
        <v>1184</v>
      </c>
      <c r="C113" s="147"/>
      <c r="D113" s="184" t="s">
        <v>1049</v>
      </c>
      <c r="E113" s="166" t="s">
        <v>1183</v>
      </c>
      <c r="F113" s="168" t="s">
        <v>1183</v>
      </c>
      <c r="G113" s="165" t="s">
        <v>115</v>
      </c>
      <c r="H113" s="133" t="s">
        <v>1184</v>
      </c>
      <c r="I113" s="147" t="s">
        <v>32</v>
      </c>
      <c r="J113" s="133" t="s">
        <v>1184</v>
      </c>
      <c r="K113" s="147" t="s">
        <v>116</v>
      </c>
      <c r="L113" s="133">
        <v>51</v>
      </c>
      <c r="M113" s="147">
        <v>0</v>
      </c>
      <c r="N113" s="147">
        <v>0</v>
      </c>
      <c r="O113" s="166">
        <v>2</v>
      </c>
      <c r="P113" s="166" t="s">
        <v>644</v>
      </c>
      <c r="Q113" s="167" t="s">
        <v>1306</v>
      </c>
    </row>
    <row r="114" spans="1:17" ht="30">
      <c r="A114" s="153" t="s">
        <v>353</v>
      </c>
      <c r="B114" s="82" t="s">
        <v>1186</v>
      </c>
      <c r="C114" s="147"/>
      <c r="D114" s="184" t="s">
        <v>1182</v>
      </c>
      <c r="E114" s="166" t="s">
        <v>1183</v>
      </c>
      <c r="F114" s="168" t="s">
        <v>1183</v>
      </c>
      <c r="G114" s="165" t="s">
        <v>118</v>
      </c>
      <c r="H114" s="133" t="s">
        <v>1186</v>
      </c>
      <c r="I114" s="147" t="s">
        <v>32</v>
      </c>
      <c r="J114" s="133" t="s">
        <v>1186</v>
      </c>
      <c r="K114" s="147" t="s">
        <v>119</v>
      </c>
      <c r="L114" s="133">
        <v>47</v>
      </c>
      <c r="M114" s="147">
        <v>0</v>
      </c>
      <c r="N114" s="147">
        <v>0</v>
      </c>
      <c r="O114" s="166">
        <v>2</v>
      </c>
      <c r="P114" s="166" t="s">
        <v>120</v>
      </c>
      <c r="Q114" s="167"/>
    </row>
    <row r="115" spans="1:17" ht="30">
      <c r="A115" s="153" t="s">
        <v>355</v>
      </c>
      <c r="B115" s="82" t="s">
        <v>1187</v>
      </c>
      <c r="C115" s="147"/>
      <c r="D115" s="183" t="s">
        <v>1100</v>
      </c>
      <c r="E115" s="163" t="s">
        <v>1100</v>
      </c>
      <c r="F115" s="164" t="s">
        <v>1100</v>
      </c>
      <c r="G115" s="165" t="s">
        <v>645</v>
      </c>
      <c r="H115" s="133" t="s">
        <v>1187</v>
      </c>
      <c r="I115" s="147" t="s">
        <v>32</v>
      </c>
      <c r="J115" s="133" t="s">
        <v>1187</v>
      </c>
      <c r="K115" s="147" t="s">
        <v>646</v>
      </c>
      <c r="L115" s="133">
        <v>897</v>
      </c>
      <c r="M115" s="147">
        <v>0</v>
      </c>
      <c r="N115" s="147">
        <v>0</v>
      </c>
      <c r="O115" s="166">
        <v>2</v>
      </c>
      <c r="P115" s="166" t="s">
        <v>647</v>
      </c>
      <c r="Q115" s="167"/>
    </row>
    <row r="116" spans="1:17" ht="30">
      <c r="A116" s="153" t="s">
        <v>357</v>
      </c>
      <c r="B116" s="82" t="s">
        <v>1188</v>
      </c>
      <c r="C116" s="147"/>
      <c r="D116" s="184" t="s">
        <v>1051</v>
      </c>
      <c r="E116" s="166" t="s">
        <v>1189</v>
      </c>
      <c r="F116" s="168" t="s">
        <v>1183</v>
      </c>
      <c r="G116" s="165" t="s">
        <v>121</v>
      </c>
      <c r="H116" s="133" t="s">
        <v>1188</v>
      </c>
      <c r="I116" s="147" t="s">
        <v>32</v>
      </c>
      <c r="J116" s="133" t="s">
        <v>1188</v>
      </c>
      <c r="K116" s="147" t="s">
        <v>122</v>
      </c>
      <c r="L116" s="133">
        <v>33</v>
      </c>
      <c r="M116" s="147">
        <v>0</v>
      </c>
      <c r="N116" s="147">
        <v>0</v>
      </c>
      <c r="O116" s="166">
        <v>2</v>
      </c>
      <c r="P116" s="166" t="s">
        <v>123</v>
      </c>
      <c r="Q116" s="167"/>
    </row>
    <row r="117" spans="1:17" ht="30">
      <c r="A117" s="153" t="s">
        <v>359</v>
      </c>
      <c r="B117" s="82" t="s">
        <v>1190</v>
      </c>
      <c r="C117" s="147"/>
      <c r="D117" s="184" t="s">
        <v>1051</v>
      </c>
      <c r="E117" s="166" t="s">
        <v>1189</v>
      </c>
      <c r="F117" s="168" t="s">
        <v>1183</v>
      </c>
      <c r="G117" s="165" t="s">
        <v>121</v>
      </c>
      <c r="H117" s="133" t="s">
        <v>1188</v>
      </c>
      <c r="I117" s="147" t="s">
        <v>488</v>
      </c>
      <c r="J117" s="133" t="s">
        <v>1190</v>
      </c>
      <c r="K117" s="147" t="s">
        <v>124</v>
      </c>
      <c r="L117" s="133">
        <v>34</v>
      </c>
      <c r="M117" s="147">
        <v>0</v>
      </c>
      <c r="N117" s="147">
        <v>0</v>
      </c>
      <c r="O117" s="166">
        <v>2</v>
      </c>
      <c r="P117" s="166" t="s">
        <v>125</v>
      </c>
      <c r="Q117" s="167"/>
    </row>
    <row r="118" spans="1:17" ht="30">
      <c r="A118" s="153" t="s">
        <v>360</v>
      </c>
      <c r="B118" s="82" t="s">
        <v>1191</v>
      </c>
      <c r="C118" s="147"/>
      <c r="D118" s="184" t="s">
        <v>1051</v>
      </c>
      <c r="E118" s="166" t="s">
        <v>1189</v>
      </c>
      <c r="F118" s="168" t="s">
        <v>1183</v>
      </c>
      <c r="G118" s="165" t="s">
        <v>121</v>
      </c>
      <c r="H118" s="133" t="s">
        <v>1188</v>
      </c>
      <c r="I118" s="147" t="s">
        <v>648</v>
      </c>
      <c r="J118" s="133" t="s">
        <v>1191</v>
      </c>
      <c r="K118" s="147" t="s">
        <v>126</v>
      </c>
      <c r="L118" s="133">
        <v>35</v>
      </c>
      <c r="M118" s="147">
        <v>0</v>
      </c>
      <c r="N118" s="147">
        <v>0</v>
      </c>
      <c r="O118" s="166">
        <v>2</v>
      </c>
      <c r="P118" s="166" t="s">
        <v>127</v>
      </c>
      <c r="Q118" s="167"/>
    </row>
    <row r="119" spans="1:17" ht="30">
      <c r="A119" s="154" t="s">
        <v>361</v>
      </c>
      <c r="B119" s="82" t="s">
        <v>1192</v>
      </c>
      <c r="C119" s="147"/>
      <c r="D119" s="184" t="s">
        <v>1193</v>
      </c>
      <c r="E119" s="166" t="s">
        <v>1050</v>
      </c>
      <c r="F119" s="168" t="s">
        <v>1050</v>
      </c>
      <c r="G119" s="165" t="s">
        <v>649</v>
      </c>
      <c r="H119" s="133" t="s">
        <v>1194</v>
      </c>
      <c r="I119" s="147" t="s">
        <v>488</v>
      </c>
      <c r="J119" s="133" t="s">
        <v>1192</v>
      </c>
      <c r="K119" s="147" t="s">
        <v>651</v>
      </c>
      <c r="L119" s="133">
        <v>62</v>
      </c>
      <c r="M119" s="147">
        <v>4</v>
      </c>
      <c r="N119" s="147">
        <v>0</v>
      </c>
      <c r="O119" s="133">
        <v>2</v>
      </c>
      <c r="P119" s="133" t="s">
        <v>652</v>
      </c>
      <c r="Q119" s="174"/>
    </row>
    <row r="120" spans="1:17" ht="30">
      <c r="A120" s="154" t="s">
        <v>362</v>
      </c>
      <c r="B120" s="82" t="s">
        <v>1192</v>
      </c>
      <c r="C120" s="147"/>
      <c r="D120" s="185" t="s">
        <v>1195</v>
      </c>
      <c r="E120" s="133" t="s">
        <v>1196</v>
      </c>
      <c r="F120" s="82" t="s">
        <v>1196</v>
      </c>
      <c r="G120" s="165" t="s">
        <v>649</v>
      </c>
      <c r="H120" s="133" t="s">
        <v>1194</v>
      </c>
      <c r="I120" s="147" t="s">
        <v>488</v>
      </c>
      <c r="J120" s="133" t="s">
        <v>1192</v>
      </c>
      <c r="K120" s="147" t="s">
        <v>651</v>
      </c>
      <c r="L120" s="133">
        <v>607</v>
      </c>
      <c r="M120" s="147">
        <v>4</v>
      </c>
      <c r="N120" s="147">
        <v>0</v>
      </c>
      <c r="O120" s="133">
        <v>2</v>
      </c>
      <c r="P120" s="133" t="s">
        <v>653</v>
      </c>
      <c r="Q120" s="174"/>
    </row>
    <row r="121" spans="1:17" ht="30">
      <c r="A121" s="154" t="s">
        <v>363</v>
      </c>
      <c r="B121" s="82" t="s">
        <v>1192</v>
      </c>
      <c r="C121" s="147"/>
      <c r="D121" s="185" t="s">
        <v>1197</v>
      </c>
      <c r="E121" s="133" t="s">
        <v>1197</v>
      </c>
      <c r="F121" s="82" t="s">
        <v>1197</v>
      </c>
      <c r="G121" s="165" t="s">
        <v>649</v>
      </c>
      <c r="H121" s="133" t="s">
        <v>1194</v>
      </c>
      <c r="I121" s="147" t="s">
        <v>488</v>
      </c>
      <c r="J121" s="133" t="s">
        <v>1192</v>
      </c>
      <c r="K121" s="147" t="s">
        <v>651</v>
      </c>
      <c r="L121" s="133">
        <v>873</v>
      </c>
      <c r="M121" s="147">
        <v>4</v>
      </c>
      <c r="N121" s="147">
        <v>0</v>
      </c>
      <c r="O121" s="133">
        <v>2</v>
      </c>
      <c r="P121" s="133" t="s">
        <v>654</v>
      </c>
      <c r="Q121" s="174"/>
    </row>
    <row r="122" spans="1:17" ht="30">
      <c r="A122" s="153" t="s">
        <v>364</v>
      </c>
      <c r="B122" s="82" t="s">
        <v>1198</v>
      </c>
      <c r="C122" s="147"/>
      <c r="D122" s="183" t="s">
        <v>1160</v>
      </c>
      <c r="E122" s="163" t="s">
        <v>1160</v>
      </c>
      <c r="F122" s="164" t="s">
        <v>1160</v>
      </c>
      <c r="G122" s="165" t="s">
        <v>649</v>
      </c>
      <c r="H122" s="133" t="s">
        <v>1194</v>
      </c>
      <c r="I122" s="147" t="s">
        <v>488</v>
      </c>
      <c r="J122" s="133" t="s">
        <v>1198</v>
      </c>
      <c r="K122" s="147" t="s">
        <v>651</v>
      </c>
      <c r="L122" s="133">
        <v>898</v>
      </c>
      <c r="M122" s="147">
        <v>0</v>
      </c>
      <c r="N122" s="147">
        <v>0</v>
      </c>
      <c r="O122" s="133">
        <v>2</v>
      </c>
      <c r="P122" s="133" t="s">
        <v>655</v>
      </c>
      <c r="Q122" s="174"/>
    </row>
    <row r="123" spans="1:17" ht="30">
      <c r="A123" s="262" t="s">
        <v>911</v>
      </c>
      <c r="B123" s="258" t="s">
        <v>1274</v>
      </c>
      <c r="C123" s="208"/>
      <c r="D123" s="268" t="s">
        <v>1275</v>
      </c>
      <c r="E123" s="268" t="s">
        <v>1275</v>
      </c>
      <c r="F123" s="269" t="s">
        <v>1275</v>
      </c>
      <c r="G123" s="260" t="s">
        <v>649</v>
      </c>
      <c r="H123" s="258" t="s">
        <v>1194</v>
      </c>
      <c r="I123" s="208" t="s">
        <v>488</v>
      </c>
      <c r="J123" s="258" t="s">
        <v>1274</v>
      </c>
      <c r="K123" s="208" t="s">
        <v>651</v>
      </c>
      <c r="L123" s="258">
        <v>1045</v>
      </c>
      <c r="M123" s="208">
        <v>4</v>
      </c>
      <c r="N123" s="208">
        <v>0</v>
      </c>
      <c r="O123" s="258">
        <v>2</v>
      </c>
      <c r="P123" s="258" t="s">
        <v>922</v>
      </c>
      <c r="Q123" s="174"/>
    </row>
    <row r="124" spans="1:17" ht="30">
      <c r="A124" s="257" t="s">
        <v>365</v>
      </c>
      <c r="B124" s="259" t="s">
        <v>1199</v>
      </c>
      <c r="C124" s="208"/>
      <c r="D124" s="263" t="s">
        <v>1193</v>
      </c>
      <c r="E124" s="261" t="s">
        <v>1050</v>
      </c>
      <c r="F124" s="266" t="s">
        <v>1050</v>
      </c>
      <c r="G124" s="260" t="s">
        <v>649</v>
      </c>
      <c r="H124" s="258" t="s">
        <v>1194</v>
      </c>
      <c r="I124" s="208" t="s">
        <v>648</v>
      </c>
      <c r="J124" s="258" t="s">
        <v>1199</v>
      </c>
      <c r="K124" s="208" t="s">
        <v>656</v>
      </c>
      <c r="L124" s="258">
        <v>63</v>
      </c>
      <c r="M124" s="208">
        <v>4</v>
      </c>
      <c r="N124" s="208">
        <v>0</v>
      </c>
      <c r="O124" s="258">
        <v>2</v>
      </c>
      <c r="P124" s="258" t="s">
        <v>657</v>
      </c>
      <c r="Q124" s="174"/>
    </row>
    <row r="125" spans="1:17" ht="30">
      <c r="A125" s="154" t="s">
        <v>366</v>
      </c>
      <c r="B125" s="82" t="s">
        <v>1199</v>
      </c>
      <c r="C125" s="147"/>
      <c r="D125" s="185" t="s">
        <v>1195</v>
      </c>
      <c r="E125" s="133" t="s">
        <v>1196</v>
      </c>
      <c r="F125" s="82" t="s">
        <v>1196</v>
      </c>
      <c r="G125" s="165" t="s">
        <v>649</v>
      </c>
      <c r="H125" s="133" t="s">
        <v>1194</v>
      </c>
      <c r="I125" s="147" t="s">
        <v>648</v>
      </c>
      <c r="J125" s="133" t="s">
        <v>1199</v>
      </c>
      <c r="K125" s="147" t="s">
        <v>656</v>
      </c>
      <c r="L125" s="133">
        <v>608</v>
      </c>
      <c r="M125" s="147">
        <v>4</v>
      </c>
      <c r="N125" s="147">
        <v>0</v>
      </c>
      <c r="O125" s="133">
        <v>2</v>
      </c>
      <c r="P125" s="133" t="s">
        <v>658</v>
      </c>
      <c r="Q125" s="174"/>
    </row>
    <row r="126" spans="1:17" ht="30">
      <c r="A126" s="154" t="s">
        <v>367</v>
      </c>
      <c r="B126" s="82" t="s">
        <v>1199</v>
      </c>
      <c r="C126" s="147"/>
      <c r="D126" s="185" t="s">
        <v>1197</v>
      </c>
      <c r="E126" s="133" t="s">
        <v>1197</v>
      </c>
      <c r="F126" s="82" t="s">
        <v>1197</v>
      </c>
      <c r="G126" s="165" t="s">
        <v>649</v>
      </c>
      <c r="H126" s="133" t="s">
        <v>1194</v>
      </c>
      <c r="I126" s="147" t="s">
        <v>648</v>
      </c>
      <c r="J126" s="133" t="s">
        <v>1199</v>
      </c>
      <c r="K126" s="147" t="s">
        <v>656</v>
      </c>
      <c r="L126" s="133">
        <v>874</v>
      </c>
      <c r="M126" s="147">
        <v>4</v>
      </c>
      <c r="N126" s="147">
        <v>0</v>
      </c>
      <c r="O126" s="133">
        <v>2</v>
      </c>
      <c r="P126" s="133" t="s">
        <v>659</v>
      </c>
      <c r="Q126" s="174"/>
    </row>
    <row r="127" spans="1:17" ht="30">
      <c r="A127" s="154" t="s">
        <v>368</v>
      </c>
      <c r="B127" s="82" t="s">
        <v>1200</v>
      </c>
      <c r="C127" s="147"/>
      <c r="D127" s="184" t="s">
        <v>1193</v>
      </c>
      <c r="E127" s="166" t="s">
        <v>1050</v>
      </c>
      <c r="F127" s="168" t="s">
        <v>1050</v>
      </c>
      <c r="G127" s="165" t="s">
        <v>649</v>
      </c>
      <c r="H127" s="133" t="s">
        <v>1194</v>
      </c>
      <c r="I127" s="147" t="s">
        <v>489</v>
      </c>
      <c r="J127" s="133" t="s">
        <v>1200</v>
      </c>
      <c r="K127" s="147" t="s">
        <v>660</v>
      </c>
      <c r="L127" s="133">
        <v>64</v>
      </c>
      <c r="M127" s="147">
        <v>4</v>
      </c>
      <c r="N127" s="147">
        <v>0</v>
      </c>
      <c r="O127" s="133">
        <v>2</v>
      </c>
      <c r="P127" s="133" t="s">
        <v>661</v>
      </c>
      <c r="Q127" s="174"/>
    </row>
    <row r="128" spans="1:17" ht="30">
      <c r="A128" s="154" t="s">
        <v>369</v>
      </c>
      <c r="B128" s="82" t="s">
        <v>1200</v>
      </c>
      <c r="C128" s="147"/>
      <c r="D128" s="185" t="s">
        <v>1195</v>
      </c>
      <c r="E128" s="133" t="s">
        <v>1196</v>
      </c>
      <c r="F128" s="82" t="s">
        <v>1196</v>
      </c>
      <c r="G128" s="165" t="s">
        <v>649</v>
      </c>
      <c r="H128" s="133" t="s">
        <v>1194</v>
      </c>
      <c r="I128" s="147" t="s">
        <v>489</v>
      </c>
      <c r="J128" s="133" t="s">
        <v>1200</v>
      </c>
      <c r="K128" s="147" t="s">
        <v>660</v>
      </c>
      <c r="L128" s="133">
        <v>609</v>
      </c>
      <c r="M128" s="147">
        <v>4</v>
      </c>
      <c r="N128" s="147">
        <v>0</v>
      </c>
      <c r="O128" s="133">
        <v>2</v>
      </c>
      <c r="P128" s="133" t="s">
        <v>662</v>
      </c>
      <c r="Q128" s="174"/>
    </row>
    <row r="129" spans="1:17" ht="30">
      <c r="A129" s="154" t="s">
        <v>370</v>
      </c>
      <c r="B129" s="82" t="s">
        <v>1200</v>
      </c>
      <c r="C129" s="147"/>
      <c r="D129" s="185" t="s">
        <v>1197</v>
      </c>
      <c r="E129" s="133" t="s">
        <v>1197</v>
      </c>
      <c r="F129" s="82" t="s">
        <v>1197</v>
      </c>
      <c r="G129" s="165" t="s">
        <v>649</v>
      </c>
      <c r="H129" s="133" t="s">
        <v>1194</v>
      </c>
      <c r="I129" s="147" t="s">
        <v>489</v>
      </c>
      <c r="J129" s="133" t="s">
        <v>1200</v>
      </c>
      <c r="K129" s="147" t="s">
        <v>660</v>
      </c>
      <c r="L129" s="133">
        <v>875</v>
      </c>
      <c r="M129" s="147">
        <v>4</v>
      </c>
      <c r="N129" s="147">
        <v>0</v>
      </c>
      <c r="O129" s="133">
        <v>2</v>
      </c>
      <c r="P129" s="133" t="s">
        <v>663</v>
      </c>
      <c r="Q129" s="174"/>
    </row>
    <row r="130" spans="1:17" ht="30">
      <c r="A130" s="154" t="s">
        <v>371</v>
      </c>
      <c r="B130" s="82" t="s">
        <v>1201</v>
      </c>
      <c r="C130" s="147"/>
      <c r="D130" s="185" t="s">
        <v>1195</v>
      </c>
      <c r="E130" s="133" t="s">
        <v>1196</v>
      </c>
      <c r="F130" s="82" t="s">
        <v>1196</v>
      </c>
      <c r="G130" s="165" t="s">
        <v>664</v>
      </c>
      <c r="H130" s="133" t="s">
        <v>1201</v>
      </c>
      <c r="I130" s="147" t="s">
        <v>32</v>
      </c>
      <c r="J130" s="133" t="s">
        <v>1201</v>
      </c>
      <c r="K130" s="147" t="s">
        <v>665</v>
      </c>
      <c r="L130" s="133">
        <v>605</v>
      </c>
      <c r="M130" s="147">
        <v>4</v>
      </c>
      <c r="N130" s="147">
        <v>0</v>
      </c>
      <c r="O130" s="133">
        <v>2</v>
      </c>
      <c r="P130" s="133" t="s">
        <v>666</v>
      </c>
      <c r="Q130" s="174"/>
    </row>
    <row r="131" spans="1:17" ht="30">
      <c r="A131" s="154" t="s">
        <v>373</v>
      </c>
      <c r="B131" s="82" t="s">
        <v>1202</v>
      </c>
      <c r="C131" s="147"/>
      <c r="D131" s="185" t="s">
        <v>1195</v>
      </c>
      <c r="E131" s="133" t="s">
        <v>1196</v>
      </c>
      <c r="F131" s="82" t="s">
        <v>1196</v>
      </c>
      <c r="G131" s="165" t="s">
        <v>667</v>
      </c>
      <c r="H131" s="133" t="s">
        <v>1202</v>
      </c>
      <c r="I131" s="147" t="s">
        <v>32</v>
      </c>
      <c r="J131" s="133" t="s">
        <v>1202</v>
      </c>
      <c r="K131" s="147" t="s">
        <v>668</v>
      </c>
      <c r="L131" s="133">
        <v>606</v>
      </c>
      <c r="M131" s="147">
        <v>4</v>
      </c>
      <c r="N131" s="147">
        <v>0</v>
      </c>
      <c r="O131" s="133">
        <v>2</v>
      </c>
      <c r="P131" s="133" t="s">
        <v>669</v>
      </c>
      <c r="Q131" s="174"/>
    </row>
    <row r="132" spans="1:17" ht="30">
      <c r="A132" s="154" t="s">
        <v>375</v>
      </c>
      <c r="B132" s="82" t="s">
        <v>1203</v>
      </c>
      <c r="C132" s="147"/>
      <c r="D132" s="185" t="s">
        <v>1204</v>
      </c>
      <c r="E132" s="133" t="s">
        <v>1204</v>
      </c>
      <c r="F132" s="82" t="s">
        <v>1204</v>
      </c>
      <c r="G132" s="165" t="s">
        <v>670</v>
      </c>
      <c r="H132" s="133" t="s">
        <v>1203</v>
      </c>
      <c r="I132" s="147" t="s">
        <v>32</v>
      </c>
      <c r="J132" s="133" t="s">
        <v>1203</v>
      </c>
      <c r="K132" s="147" t="s">
        <v>671</v>
      </c>
      <c r="L132" s="133">
        <v>886</v>
      </c>
      <c r="M132" s="147">
        <v>4</v>
      </c>
      <c r="N132" s="147">
        <v>0</v>
      </c>
      <c r="O132" s="133">
        <v>2</v>
      </c>
      <c r="P132" s="133" t="s">
        <v>672</v>
      </c>
      <c r="Q132" s="174"/>
    </row>
    <row r="133" spans="1:17" ht="30">
      <c r="A133" s="154" t="s">
        <v>377</v>
      </c>
      <c r="B133" s="82" t="s">
        <v>1205</v>
      </c>
      <c r="C133" s="147"/>
      <c r="D133" s="185" t="s">
        <v>1204</v>
      </c>
      <c r="E133" s="133" t="s">
        <v>1204</v>
      </c>
      <c r="F133" s="82" t="s">
        <v>1204</v>
      </c>
      <c r="G133" s="165" t="s">
        <v>673</v>
      </c>
      <c r="H133" s="133" t="s">
        <v>1205</v>
      </c>
      <c r="I133" s="147" t="s">
        <v>32</v>
      </c>
      <c r="J133" s="133" t="s">
        <v>1205</v>
      </c>
      <c r="K133" s="147" t="s">
        <v>674</v>
      </c>
      <c r="L133" s="133">
        <v>887</v>
      </c>
      <c r="M133" s="147">
        <v>4</v>
      </c>
      <c r="N133" s="147">
        <v>0</v>
      </c>
      <c r="O133" s="133">
        <v>2</v>
      </c>
      <c r="P133" s="133" t="s">
        <v>675</v>
      </c>
      <c r="Q133" s="174"/>
    </row>
    <row r="134" spans="1:17" ht="30">
      <c r="A134" s="154" t="s">
        <v>379</v>
      </c>
      <c r="B134" s="82" t="s">
        <v>1206</v>
      </c>
      <c r="C134" s="147"/>
      <c r="D134" s="185" t="s">
        <v>1207</v>
      </c>
      <c r="E134" s="133" t="s">
        <v>1208</v>
      </c>
      <c r="F134" s="82" t="s">
        <v>1207</v>
      </c>
      <c r="G134" s="165" t="s">
        <v>676</v>
      </c>
      <c r="H134" s="133" t="s">
        <v>1209</v>
      </c>
      <c r="I134" s="147" t="s">
        <v>488</v>
      </c>
      <c r="J134" s="133" t="s">
        <v>1206</v>
      </c>
      <c r="K134" s="147" t="s">
        <v>678</v>
      </c>
      <c r="L134" s="133">
        <v>910</v>
      </c>
      <c r="M134" s="147">
        <v>4</v>
      </c>
      <c r="N134" s="147">
        <v>0</v>
      </c>
      <c r="O134" s="133">
        <v>2</v>
      </c>
      <c r="P134" s="133" t="s">
        <v>679</v>
      </c>
      <c r="Q134" s="174"/>
    </row>
    <row r="135" spans="1:17" ht="30">
      <c r="A135" s="154" t="s">
        <v>380</v>
      </c>
      <c r="B135" s="82" t="s">
        <v>1210</v>
      </c>
      <c r="C135" s="147"/>
      <c r="D135" s="185" t="s">
        <v>1207</v>
      </c>
      <c r="E135" s="133" t="s">
        <v>1208</v>
      </c>
      <c r="F135" s="82" t="s">
        <v>1207</v>
      </c>
      <c r="G135" s="165" t="s">
        <v>676</v>
      </c>
      <c r="H135" s="133" t="s">
        <v>1209</v>
      </c>
      <c r="I135" s="147" t="s">
        <v>648</v>
      </c>
      <c r="J135" s="133" t="s">
        <v>1210</v>
      </c>
      <c r="K135" s="147" t="s">
        <v>680</v>
      </c>
      <c r="L135" s="133">
        <v>911</v>
      </c>
      <c r="M135" s="147">
        <v>4</v>
      </c>
      <c r="N135" s="147">
        <v>0</v>
      </c>
      <c r="O135" s="133">
        <v>2</v>
      </c>
      <c r="P135" s="133" t="s">
        <v>681</v>
      </c>
      <c r="Q135" s="174"/>
    </row>
    <row r="136" spans="1:17" ht="30">
      <c r="A136" s="257" t="s">
        <v>912</v>
      </c>
      <c r="B136" s="258" t="s">
        <v>1276</v>
      </c>
      <c r="C136" s="208"/>
      <c r="D136" s="268" t="s">
        <v>1275</v>
      </c>
      <c r="E136" s="268" t="s">
        <v>1275</v>
      </c>
      <c r="F136" s="269" t="s">
        <v>1275</v>
      </c>
      <c r="G136" s="260" t="s">
        <v>676</v>
      </c>
      <c r="H136" s="258" t="s">
        <v>1277</v>
      </c>
      <c r="I136" s="208" t="s">
        <v>648</v>
      </c>
      <c r="J136" s="258" t="s">
        <v>1276</v>
      </c>
      <c r="K136" s="208" t="s">
        <v>680</v>
      </c>
      <c r="L136" s="258">
        <v>1051</v>
      </c>
      <c r="M136" s="208">
        <v>4</v>
      </c>
      <c r="N136" s="208">
        <v>0</v>
      </c>
      <c r="O136" s="258">
        <v>2</v>
      </c>
      <c r="P136" s="258" t="s">
        <v>923</v>
      </c>
      <c r="Q136" s="174"/>
    </row>
    <row r="137" spans="1:17" ht="30">
      <c r="A137" s="257" t="s">
        <v>381</v>
      </c>
      <c r="B137" s="259" t="s">
        <v>1211</v>
      </c>
      <c r="C137" s="208"/>
      <c r="D137" s="270" t="s">
        <v>1207</v>
      </c>
      <c r="E137" s="258" t="s">
        <v>1208</v>
      </c>
      <c r="F137" s="259" t="s">
        <v>1207</v>
      </c>
      <c r="G137" s="260" t="s">
        <v>676</v>
      </c>
      <c r="H137" s="258" t="s">
        <v>1209</v>
      </c>
      <c r="I137" s="208" t="s">
        <v>489</v>
      </c>
      <c r="J137" s="258" t="s">
        <v>1211</v>
      </c>
      <c r="K137" s="208" t="s">
        <v>682</v>
      </c>
      <c r="L137" s="258">
        <v>912</v>
      </c>
      <c r="M137" s="208">
        <v>4</v>
      </c>
      <c r="N137" s="208">
        <v>0</v>
      </c>
      <c r="O137" s="258">
        <v>2</v>
      </c>
      <c r="P137" s="258" t="s">
        <v>683</v>
      </c>
      <c r="Q137" s="174"/>
    </row>
    <row r="138" spans="1:17" ht="30">
      <c r="A138" s="257" t="s">
        <v>913</v>
      </c>
      <c r="B138" s="258" t="s">
        <v>1278</v>
      </c>
      <c r="C138" s="208"/>
      <c r="D138" s="268" t="s">
        <v>1275</v>
      </c>
      <c r="E138" s="268" t="s">
        <v>1275</v>
      </c>
      <c r="F138" s="269" t="s">
        <v>1275</v>
      </c>
      <c r="G138" s="260" t="s">
        <v>924</v>
      </c>
      <c r="H138" s="258" t="s">
        <v>1279</v>
      </c>
      <c r="I138" s="208" t="s">
        <v>488</v>
      </c>
      <c r="J138" s="258" t="s">
        <v>1278</v>
      </c>
      <c r="K138" s="208" t="s">
        <v>926</v>
      </c>
      <c r="L138" s="258">
        <v>1052</v>
      </c>
      <c r="M138" s="208">
        <v>4</v>
      </c>
      <c r="N138" s="208">
        <v>0</v>
      </c>
      <c r="O138" s="258">
        <v>2</v>
      </c>
      <c r="P138" s="258" t="s">
        <v>927</v>
      </c>
      <c r="Q138" s="174"/>
    </row>
    <row r="139" spans="1:17" ht="30">
      <c r="A139" s="262" t="s">
        <v>382</v>
      </c>
      <c r="B139" s="258" t="s">
        <v>1286</v>
      </c>
      <c r="C139" s="208"/>
      <c r="D139" s="276" t="s">
        <v>1287</v>
      </c>
      <c r="E139" s="276" t="s">
        <v>1287</v>
      </c>
      <c r="F139" s="276" t="s">
        <v>1287</v>
      </c>
      <c r="G139" s="260" t="s">
        <v>684</v>
      </c>
      <c r="H139" s="258" t="s">
        <v>1286</v>
      </c>
      <c r="I139" s="208" t="s">
        <v>32</v>
      </c>
      <c r="J139" s="258" t="s">
        <v>1286</v>
      </c>
      <c r="K139" s="208" t="s">
        <v>685</v>
      </c>
      <c r="L139" s="258">
        <v>1053</v>
      </c>
      <c r="M139" s="208">
        <v>0</v>
      </c>
      <c r="N139" s="208">
        <v>0</v>
      </c>
      <c r="O139" s="261">
        <v>2</v>
      </c>
      <c r="P139" s="261" t="s">
        <v>686</v>
      </c>
      <c r="Q139" s="167"/>
    </row>
    <row r="140" spans="1:17" ht="30">
      <c r="A140" s="153" t="s">
        <v>384</v>
      </c>
      <c r="B140" s="82" t="s">
        <v>944</v>
      </c>
      <c r="C140" s="147"/>
      <c r="D140" s="183" t="s">
        <v>1113</v>
      </c>
      <c r="E140" s="163" t="s">
        <v>1113</v>
      </c>
      <c r="F140" s="164" t="s">
        <v>1113</v>
      </c>
      <c r="G140" s="165" t="s">
        <v>687</v>
      </c>
      <c r="H140" s="133" t="s">
        <v>944</v>
      </c>
      <c r="I140" s="147" t="s">
        <v>32</v>
      </c>
      <c r="J140" s="133" t="s">
        <v>944</v>
      </c>
      <c r="K140" s="147" t="s">
        <v>688</v>
      </c>
      <c r="L140" s="133">
        <v>899</v>
      </c>
      <c r="M140" s="147">
        <v>0</v>
      </c>
      <c r="N140" s="147">
        <v>0</v>
      </c>
      <c r="O140" s="166">
        <v>2</v>
      </c>
      <c r="P140" s="133" t="s">
        <v>689</v>
      </c>
      <c r="Q140" s="171"/>
    </row>
    <row r="141" spans="1:17" ht="30">
      <c r="A141" s="153" t="s">
        <v>386</v>
      </c>
      <c r="B141" s="82" t="s">
        <v>1212</v>
      </c>
      <c r="C141" s="147"/>
      <c r="D141" s="184" t="s">
        <v>1086</v>
      </c>
      <c r="E141" s="166" t="s">
        <v>1050</v>
      </c>
      <c r="F141" s="168" t="s">
        <v>1087</v>
      </c>
      <c r="G141" s="165" t="s">
        <v>128</v>
      </c>
      <c r="H141" s="133" t="s">
        <v>1212</v>
      </c>
      <c r="I141" s="147" t="s">
        <v>32</v>
      </c>
      <c r="J141" s="133" t="s">
        <v>1212</v>
      </c>
      <c r="K141" s="147" t="s">
        <v>129</v>
      </c>
      <c r="L141" s="133">
        <v>36</v>
      </c>
      <c r="M141" s="147">
        <v>0</v>
      </c>
      <c r="N141" s="147">
        <v>0</v>
      </c>
      <c r="O141" s="166">
        <v>2</v>
      </c>
      <c r="P141" s="166" t="s">
        <v>130</v>
      </c>
      <c r="Q141" s="167"/>
    </row>
    <row r="142" spans="1:17" ht="30">
      <c r="A142" s="153" t="s">
        <v>388</v>
      </c>
      <c r="B142" s="82" t="s">
        <v>945</v>
      </c>
      <c r="C142" s="147"/>
      <c r="D142" s="183" t="s">
        <v>1113</v>
      </c>
      <c r="E142" s="163" t="s">
        <v>1113</v>
      </c>
      <c r="F142" s="164" t="s">
        <v>1113</v>
      </c>
      <c r="G142" s="165" t="s">
        <v>690</v>
      </c>
      <c r="H142" s="133" t="s">
        <v>945</v>
      </c>
      <c r="I142" s="147" t="s">
        <v>32</v>
      </c>
      <c r="J142" s="133" t="s">
        <v>945</v>
      </c>
      <c r="K142" s="147" t="s">
        <v>691</v>
      </c>
      <c r="L142" s="133">
        <v>900</v>
      </c>
      <c r="M142" s="147">
        <v>0</v>
      </c>
      <c r="N142" s="147">
        <v>0</v>
      </c>
      <c r="O142" s="166">
        <v>2</v>
      </c>
      <c r="P142" s="133" t="s">
        <v>692</v>
      </c>
      <c r="Q142" s="171"/>
    </row>
    <row r="143" spans="1:17" ht="30">
      <c r="A143" s="153" t="s">
        <v>390</v>
      </c>
      <c r="B143" s="82" t="s">
        <v>1213</v>
      </c>
      <c r="C143" s="147"/>
      <c r="D143" s="183" t="s">
        <v>1042</v>
      </c>
      <c r="E143" s="163" t="s">
        <v>1043</v>
      </c>
      <c r="F143" s="164" t="s">
        <v>1044</v>
      </c>
      <c r="G143" s="165" t="s">
        <v>131</v>
      </c>
      <c r="H143" s="133" t="s">
        <v>1213</v>
      </c>
      <c r="I143" s="147" t="s">
        <v>32</v>
      </c>
      <c r="J143" s="133" t="s">
        <v>1213</v>
      </c>
      <c r="K143" s="147" t="s">
        <v>132</v>
      </c>
      <c r="L143" s="133">
        <v>9</v>
      </c>
      <c r="M143" s="147">
        <v>0</v>
      </c>
      <c r="N143" s="147">
        <v>0</v>
      </c>
      <c r="O143" s="166">
        <v>2</v>
      </c>
      <c r="P143" s="166" t="s">
        <v>133</v>
      </c>
      <c r="Q143" s="167"/>
    </row>
    <row r="144" spans="1:17" ht="30">
      <c r="A144" s="153" t="s">
        <v>392</v>
      </c>
      <c r="B144" s="82" t="s">
        <v>1214</v>
      </c>
      <c r="C144" s="147"/>
      <c r="D144" s="184" t="s">
        <v>1193</v>
      </c>
      <c r="E144" s="166" t="s">
        <v>1050</v>
      </c>
      <c r="F144" s="168" t="s">
        <v>1050</v>
      </c>
      <c r="G144" s="165" t="s">
        <v>134</v>
      </c>
      <c r="H144" s="133" t="s">
        <v>1214</v>
      </c>
      <c r="I144" s="147" t="s">
        <v>32</v>
      </c>
      <c r="J144" s="133" t="s">
        <v>1214</v>
      </c>
      <c r="K144" s="147" t="s">
        <v>135</v>
      </c>
      <c r="L144" s="133">
        <v>38</v>
      </c>
      <c r="M144" s="147">
        <v>0</v>
      </c>
      <c r="N144" s="147">
        <v>0</v>
      </c>
      <c r="O144" s="166">
        <v>2</v>
      </c>
      <c r="P144" s="166" t="s">
        <v>136</v>
      </c>
      <c r="Q144" s="167"/>
    </row>
    <row r="145" spans="1:17" ht="30">
      <c r="A145" s="154" t="s">
        <v>394</v>
      </c>
      <c r="B145" s="82" t="s">
        <v>879</v>
      </c>
      <c r="C145" s="147"/>
      <c r="D145" s="184" t="s">
        <v>1182</v>
      </c>
      <c r="E145" s="166" t="s">
        <v>1137</v>
      </c>
      <c r="F145" s="168" t="s">
        <v>1053</v>
      </c>
      <c r="G145" s="165" t="s">
        <v>693</v>
      </c>
      <c r="H145" s="133" t="s">
        <v>879</v>
      </c>
      <c r="I145" s="147" t="s">
        <v>32</v>
      </c>
      <c r="J145" s="133" t="s">
        <v>879</v>
      </c>
      <c r="K145" s="147" t="s">
        <v>694</v>
      </c>
      <c r="L145" s="133">
        <v>573</v>
      </c>
      <c r="M145" s="147">
        <v>0</v>
      </c>
      <c r="N145" s="147">
        <v>0</v>
      </c>
      <c r="O145" s="133">
        <v>2</v>
      </c>
      <c r="P145" s="166" t="s">
        <v>695</v>
      </c>
      <c r="Q145" s="171"/>
    </row>
    <row r="146" spans="1:17" ht="30">
      <c r="A146" s="153" t="s">
        <v>396</v>
      </c>
      <c r="B146" s="82" t="s">
        <v>880</v>
      </c>
      <c r="C146" s="147"/>
      <c r="D146" s="183" t="s">
        <v>1135</v>
      </c>
      <c r="E146" s="163" t="s">
        <v>1135</v>
      </c>
      <c r="F146" s="164" t="s">
        <v>1135</v>
      </c>
      <c r="G146" s="165" t="s">
        <v>696</v>
      </c>
      <c r="H146" s="133" t="s">
        <v>880</v>
      </c>
      <c r="I146" s="147" t="s">
        <v>32</v>
      </c>
      <c r="J146" s="133" t="s">
        <v>880</v>
      </c>
      <c r="K146" s="147" t="s">
        <v>697</v>
      </c>
      <c r="L146" s="133">
        <v>901</v>
      </c>
      <c r="M146" s="147">
        <v>0</v>
      </c>
      <c r="N146" s="147">
        <v>0</v>
      </c>
      <c r="O146" s="133">
        <v>2</v>
      </c>
      <c r="P146" s="133" t="s">
        <v>698</v>
      </c>
      <c r="Q146" s="171"/>
    </row>
    <row r="147" spans="1:17" ht="30">
      <c r="A147" s="153" t="s">
        <v>398</v>
      </c>
      <c r="B147" s="82" t="s">
        <v>1215</v>
      </c>
      <c r="C147" s="147"/>
      <c r="D147" s="184" t="s">
        <v>1080</v>
      </c>
      <c r="E147" s="172" t="s">
        <v>1081</v>
      </c>
      <c r="F147" s="173" t="s">
        <v>1082</v>
      </c>
      <c r="G147" s="165" t="s">
        <v>137</v>
      </c>
      <c r="H147" s="133" t="s">
        <v>1215</v>
      </c>
      <c r="I147" s="147" t="s">
        <v>32</v>
      </c>
      <c r="J147" s="133" t="s">
        <v>1215</v>
      </c>
      <c r="K147" s="147" t="s">
        <v>138</v>
      </c>
      <c r="L147" s="133">
        <v>17</v>
      </c>
      <c r="M147" s="147">
        <v>0</v>
      </c>
      <c r="N147" s="147">
        <v>0</v>
      </c>
      <c r="O147" s="166">
        <v>2</v>
      </c>
      <c r="P147" s="166" t="s">
        <v>139</v>
      </c>
      <c r="Q147" s="167"/>
    </row>
    <row r="148" spans="1:17" ht="30">
      <c r="A148" s="153" t="s">
        <v>400</v>
      </c>
      <c r="B148" s="82" t="s">
        <v>144</v>
      </c>
      <c r="C148" s="147"/>
      <c r="D148" s="184" t="s">
        <v>1193</v>
      </c>
      <c r="E148" s="166" t="s">
        <v>1050</v>
      </c>
      <c r="F148" s="168" t="s">
        <v>1050</v>
      </c>
      <c r="G148" s="165" t="s">
        <v>141</v>
      </c>
      <c r="H148" s="133" t="s">
        <v>144</v>
      </c>
      <c r="I148" s="147" t="s">
        <v>32</v>
      </c>
      <c r="J148" s="133" t="s">
        <v>144</v>
      </c>
      <c r="K148" s="147" t="s">
        <v>142</v>
      </c>
      <c r="L148" s="133">
        <v>37</v>
      </c>
      <c r="M148" s="147">
        <v>0</v>
      </c>
      <c r="N148" s="147">
        <v>0</v>
      </c>
      <c r="O148" s="166">
        <v>2</v>
      </c>
      <c r="P148" s="166" t="s">
        <v>143</v>
      </c>
      <c r="Q148" s="171"/>
    </row>
    <row r="149" spans="1:17" ht="30">
      <c r="A149" s="153" t="s">
        <v>401</v>
      </c>
      <c r="B149" s="82" t="s">
        <v>1216</v>
      </c>
      <c r="C149" s="147"/>
      <c r="D149" s="183" t="s">
        <v>1217</v>
      </c>
      <c r="E149" s="163" t="s">
        <v>1218</v>
      </c>
      <c r="F149" s="164" t="s">
        <v>1218</v>
      </c>
      <c r="G149" s="165" t="s">
        <v>699</v>
      </c>
      <c r="H149" s="133" t="s">
        <v>1216</v>
      </c>
      <c r="I149" s="147" t="s">
        <v>32</v>
      </c>
      <c r="J149" s="133" t="s">
        <v>1216</v>
      </c>
      <c r="K149" s="147" t="s">
        <v>700</v>
      </c>
      <c r="L149" s="133">
        <v>902</v>
      </c>
      <c r="M149" s="147">
        <v>0</v>
      </c>
      <c r="N149" s="147">
        <v>0</v>
      </c>
      <c r="O149" s="133">
        <v>2</v>
      </c>
      <c r="P149" s="133" t="s">
        <v>701</v>
      </c>
      <c r="Q149" s="171"/>
    </row>
    <row r="150" spans="1:17" ht="30">
      <c r="A150" s="153" t="s">
        <v>403</v>
      </c>
      <c r="B150" s="82" t="s">
        <v>1219</v>
      </c>
      <c r="C150" s="147"/>
      <c r="D150" s="183" t="s">
        <v>1220</v>
      </c>
      <c r="E150" s="163" t="s">
        <v>1220</v>
      </c>
      <c r="F150" s="164" t="s">
        <v>1220</v>
      </c>
      <c r="G150" s="165" t="s">
        <v>702</v>
      </c>
      <c r="H150" s="133" t="s">
        <v>1219</v>
      </c>
      <c r="I150" s="147" t="s">
        <v>32</v>
      </c>
      <c r="J150" s="133" t="s">
        <v>1219</v>
      </c>
      <c r="K150" s="147" t="s">
        <v>703</v>
      </c>
      <c r="L150" s="133">
        <v>885</v>
      </c>
      <c r="M150" s="147">
        <v>13</v>
      </c>
      <c r="N150" s="147">
        <v>0</v>
      </c>
      <c r="O150" s="166">
        <v>2</v>
      </c>
      <c r="P150" s="166" t="s">
        <v>704</v>
      </c>
      <c r="Q150" s="171"/>
    </row>
    <row r="151" spans="1:17" ht="30">
      <c r="A151" s="153" t="s">
        <v>405</v>
      </c>
      <c r="B151" s="82" t="s">
        <v>1221</v>
      </c>
      <c r="C151" s="147"/>
      <c r="D151" s="183" t="s">
        <v>1135</v>
      </c>
      <c r="E151" s="163" t="s">
        <v>1135</v>
      </c>
      <c r="F151" s="164" t="s">
        <v>1135</v>
      </c>
      <c r="G151" s="165" t="s">
        <v>705</v>
      </c>
      <c r="H151" s="133" t="s">
        <v>1221</v>
      </c>
      <c r="I151" s="147" t="s">
        <v>32</v>
      </c>
      <c r="J151" s="133" t="s">
        <v>1221</v>
      </c>
      <c r="K151" s="147" t="s">
        <v>706</v>
      </c>
      <c r="L151" s="133">
        <v>903</v>
      </c>
      <c r="M151" s="147">
        <v>0</v>
      </c>
      <c r="N151" s="147">
        <v>0</v>
      </c>
      <c r="O151" s="166">
        <v>2</v>
      </c>
      <c r="P151" s="133" t="s">
        <v>707</v>
      </c>
      <c r="Q151" s="171"/>
    </row>
    <row r="152" spans="1:17" ht="30">
      <c r="A152" s="153" t="s">
        <v>407</v>
      </c>
      <c r="B152" s="82" t="s">
        <v>1222</v>
      </c>
      <c r="C152" s="147"/>
      <c r="D152" s="183" t="s">
        <v>1042</v>
      </c>
      <c r="E152" s="163" t="s">
        <v>1043</v>
      </c>
      <c r="F152" s="164" t="s">
        <v>1044</v>
      </c>
      <c r="G152" s="165" t="s">
        <v>145</v>
      </c>
      <c r="H152" s="133" t="s">
        <v>1222</v>
      </c>
      <c r="I152" s="147" t="s">
        <v>32</v>
      </c>
      <c r="J152" s="133" t="s">
        <v>1222</v>
      </c>
      <c r="K152" s="147" t="s">
        <v>146</v>
      </c>
      <c r="L152" s="133">
        <v>10</v>
      </c>
      <c r="M152" s="147">
        <v>0</v>
      </c>
      <c r="N152" s="147">
        <v>0</v>
      </c>
      <c r="O152" s="166">
        <v>2</v>
      </c>
      <c r="P152" s="166" t="s">
        <v>147</v>
      </c>
      <c r="Q152" s="167"/>
    </row>
    <row r="153" spans="1:17" ht="30">
      <c r="A153" s="153" t="s">
        <v>409</v>
      </c>
      <c r="B153" s="82" t="s">
        <v>1222</v>
      </c>
      <c r="C153" s="147"/>
      <c r="D153" s="184" t="s">
        <v>1223</v>
      </c>
      <c r="E153" s="163" t="s">
        <v>1133</v>
      </c>
      <c r="F153" s="164" t="s">
        <v>1133</v>
      </c>
      <c r="G153" s="165" t="s">
        <v>145</v>
      </c>
      <c r="H153" s="133" t="s">
        <v>1222</v>
      </c>
      <c r="I153" s="147" t="s">
        <v>32</v>
      </c>
      <c r="J153" s="133" t="s">
        <v>1222</v>
      </c>
      <c r="K153" s="147" t="s">
        <v>146</v>
      </c>
      <c r="L153" s="133">
        <v>596</v>
      </c>
      <c r="M153" s="147">
        <v>12</v>
      </c>
      <c r="N153" s="147">
        <v>0</v>
      </c>
      <c r="O153" s="166">
        <v>2</v>
      </c>
      <c r="P153" s="166" t="s">
        <v>708</v>
      </c>
      <c r="Q153" s="167"/>
    </row>
    <row r="154" spans="1:17" ht="30">
      <c r="A154" s="153" t="s">
        <v>410</v>
      </c>
      <c r="B154" s="82" t="s">
        <v>1224</v>
      </c>
      <c r="C154" s="147"/>
      <c r="D154" s="184" t="s">
        <v>1080</v>
      </c>
      <c r="E154" s="172" t="s">
        <v>1081</v>
      </c>
      <c r="F154" s="173" t="s">
        <v>1225</v>
      </c>
      <c r="G154" s="165" t="s">
        <v>148</v>
      </c>
      <c r="H154" s="133" t="s">
        <v>1224</v>
      </c>
      <c r="I154" s="147" t="s">
        <v>32</v>
      </c>
      <c r="J154" s="133" t="s">
        <v>1224</v>
      </c>
      <c r="K154" s="147" t="s">
        <v>149</v>
      </c>
      <c r="L154" s="133">
        <v>39</v>
      </c>
      <c r="M154" s="147">
        <v>0</v>
      </c>
      <c r="N154" s="147">
        <v>0</v>
      </c>
      <c r="O154" s="166">
        <v>2</v>
      </c>
      <c r="P154" s="166" t="s">
        <v>150</v>
      </c>
      <c r="Q154" s="167"/>
    </row>
    <row r="155" spans="1:17" ht="30">
      <c r="A155" s="153" t="s">
        <v>412</v>
      </c>
      <c r="B155" s="82" t="s">
        <v>1224</v>
      </c>
      <c r="C155" s="147"/>
      <c r="D155" s="184" t="s">
        <v>1223</v>
      </c>
      <c r="E155" s="163" t="s">
        <v>1133</v>
      </c>
      <c r="F155" s="164" t="s">
        <v>1133</v>
      </c>
      <c r="G155" s="165" t="s">
        <v>148</v>
      </c>
      <c r="H155" s="133" t="s">
        <v>1224</v>
      </c>
      <c r="I155" s="147" t="s">
        <v>32</v>
      </c>
      <c r="J155" s="133" t="s">
        <v>1224</v>
      </c>
      <c r="K155" s="147" t="s">
        <v>149</v>
      </c>
      <c r="L155" s="133">
        <v>597</v>
      </c>
      <c r="M155" s="147">
        <v>12</v>
      </c>
      <c r="N155" s="147">
        <v>0</v>
      </c>
      <c r="O155" s="166">
        <v>2</v>
      </c>
      <c r="P155" s="166" t="s">
        <v>709</v>
      </c>
      <c r="Q155" s="167"/>
    </row>
    <row r="156" spans="1:17" ht="30">
      <c r="A156" s="153" t="s">
        <v>413</v>
      </c>
      <c r="B156" s="82" t="s">
        <v>1226</v>
      </c>
      <c r="C156" s="147"/>
      <c r="D156" s="184" t="s">
        <v>1080</v>
      </c>
      <c r="E156" s="172" t="s">
        <v>1081</v>
      </c>
      <c r="F156" s="173" t="s">
        <v>1225</v>
      </c>
      <c r="G156" s="165" t="s">
        <v>151</v>
      </c>
      <c r="H156" s="133" t="s">
        <v>1226</v>
      </c>
      <c r="I156" s="147" t="s">
        <v>32</v>
      </c>
      <c r="J156" s="133" t="s">
        <v>1226</v>
      </c>
      <c r="K156" s="147" t="s">
        <v>152</v>
      </c>
      <c r="L156" s="133">
        <v>40</v>
      </c>
      <c r="M156" s="147">
        <v>0</v>
      </c>
      <c r="N156" s="147">
        <v>0</v>
      </c>
      <c r="O156" s="166">
        <v>2</v>
      </c>
      <c r="P156" s="166" t="s">
        <v>153</v>
      </c>
      <c r="Q156" s="167"/>
    </row>
    <row r="157" spans="1:17" ht="30">
      <c r="A157" s="153" t="s">
        <v>414</v>
      </c>
      <c r="B157" s="82" t="s">
        <v>1226</v>
      </c>
      <c r="C157" s="147"/>
      <c r="D157" s="184" t="s">
        <v>1223</v>
      </c>
      <c r="E157" s="163" t="s">
        <v>1133</v>
      </c>
      <c r="F157" s="164" t="s">
        <v>1133</v>
      </c>
      <c r="G157" s="165" t="s">
        <v>151</v>
      </c>
      <c r="H157" s="133" t="s">
        <v>1226</v>
      </c>
      <c r="I157" s="147" t="s">
        <v>32</v>
      </c>
      <c r="J157" s="133" t="s">
        <v>1226</v>
      </c>
      <c r="K157" s="147" t="s">
        <v>152</v>
      </c>
      <c r="L157" s="133">
        <v>598</v>
      </c>
      <c r="M157" s="147">
        <v>12</v>
      </c>
      <c r="N157" s="147">
        <v>0</v>
      </c>
      <c r="O157" s="166">
        <v>2</v>
      </c>
      <c r="P157" s="166" t="s">
        <v>710</v>
      </c>
      <c r="Q157" s="167"/>
    </row>
    <row r="158" spans="1:17" ht="30">
      <c r="A158" s="153" t="s">
        <v>415</v>
      </c>
      <c r="B158" s="82" t="s">
        <v>1227</v>
      </c>
      <c r="C158" s="147"/>
      <c r="D158" s="184" t="s">
        <v>1223</v>
      </c>
      <c r="E158" s="163" t="s">
        <v>1133</v>
      </c>
      <c r="F158" s="164" t="s">
        <v>1133</v>
      </c>
      <c r="G158" s="165" t="s">
        <v>711</v>
      </c>
      <c r="H158" s="133" t="s">
        <v>1227</v>
      </c>
      <c r="I158" s="147" t="s">
        <v>32</v>
      </c>
      <c r="J158" s="133" t="s">
        <v>1227</v>
      </c>
      <c r="K158" s="147" t="s">
        <v>712</v>
      </c>
      <c r="L158" s="133">
        <v>599</v>
      </c>
      <c r="M158" s="147">
        <v>12</v>
      </c>
      <c r="N158" s="147">
        <v>0</v>
      </c>
      <c r="O158" s="166">
        <v>2</v>
      </c>
      <c r="P158" s="166" t="s">
        <v>713</v>
      </c>
      <c r="Q158" s="167"/>
    </row>
    <row r="159" spans="1:17" ht="30">
      <c r="A159" s="154" t="s">
        <v>417</v>
      </c>
      <c r="B159" s="82" t="s">
        <v>1228</v>
      </c>
      <c r="C159" s="147"/>
      <c r="D159" s="183" t="s">
        <v>1229</v>
      </c>
      <c r="E159" s="133" t="s">
        <v>1049</v>
      </c>
      <c r="F159" s="82" t="s">
        <v>1049</v>
      </c>
      <c r="G159" s="165" t="s">
        <v>714</v>
      </c>
      <c r="H159" s="133" t="s">
        <v>1228</v>
      </c>
      <c r="I159" s="147" t="s">
        <v>32</v>
      </c>
      <c r="J159" s="133" t="s">
        <v>1228</v>
      </c>
      <c r="K159" s="147" t="s">
        <v>715</v>
      </c>
      <c r="L159" s="133">
        <v>862</v>
      </c>
      <c r="M159" s="147">
        <v>16</v>
      </c>
      <c r="N159" s="147">
        <v>0</v>
      </c>
      <c r="O159" s="166">
        <v>2</v>
      </c>
      <c r="P159" s="133" t="s">
        <v>716</v>
      </c>
      <c r="Q159" s="171"/>
    </row>
    <row r="160" spans="1:17" ht="30">
      <c r="A160" s="153" t="s">
        <v>419</v>
      </c>
      <c r="B160" s="82" t="s">
        <v>1230</v>
      </c>
      <c r="C160" s="147"/>
      <c r="D160" s="183" t="s">
        <v>1042</v>
      </c>
      <c r="E160" s="163" t="s">
        <v>1043</v>
      </c>
      <c r="F160" s="164" t="s">
        <v>1044</v>
      </c>
      <c r="G160" s="165" t="s">
        <v>155</v>
      </c>
      <c r="H160" s="133" t="s">
        <v>1230</v>
      </c>
      <c r="I160" s="147" t="s">
        <v>32</v>
      </c>
      <c r="J160" s="133" t="s">
        <v>1230</v>
      </c>
      <c r="K160" s="147" t="s">
        <v>156</v>
      </c>
      <c r="L160" s="133">
        <v>11</v>
      </c>
      <c r="M160" s="147">
        <v>0</v>
      </c>
      <c r="N160" s="147">
        <v>0</v>
      </c>
      <c r="O160" s="166">
        <v>2</v>
      </c>
      <c r="P160" s="166" t="s">
        <v>157</v>
      </c>
      <c r="Q160" s="167"/>
    </row>
    <row r="161" spans="1:17" ht="30">
      <c r="A161" s="153" t="s">
        <v>421</v>
      </c>
      <c r="B161" s="82" t="s">
        <v>1231</v>
      </c>
      <c r="C161" s="147"/>
      <c r="D161" s="184" t="s">
        <v>1080</v>
      </c>
      <c r="E161" s="172" t="s">
        <v>1081</v>
      </c>
      <c r="F161" s="173" t="s">
        <v>1082</v>
      </c>
      <c r="G161" s="165" t="s">
        <v>158</v>
      </c>
      <c r="H161" s="133" t="s">
        <v>1231</v>
      </c>
      <c r="I161" s="147" t="s">
        <v>32</v>
      </c>
      <c r="J161" s="133" t="s">
        <v>1231</v>
      </c>
      <c r="K161" s="147" t="s">
        <v>159</v>
      </c>
      <c r="L161" s="133">
        <v>24</v>
      </c>
      <c r="M161" s="147">
        <v>0</v>
      </c>
      <c r="N161" s="147">
        <v>0</v>
      </c>
      <c r="O161" s="166">
        <v>2</v>
      </c>
      <c r="P161" s="166" t="s">
        <v>160</v>
      </c>
      <c r="Q161" s="167"/>
    </row>
    <row r="162" spans="1:17" ht="30">
      <c r="A162" s="153" t="s">
        <v>423</v>
      </c>
      <c r="B162" s="82" t="s">
        <v>1232</v>
      </c>
      <c r="C162" s="147"/>
      <c r="D162" s="184" t="s">
        <v>1086</v>
      </c>
      <c r="E162" s="166" t="s">
        <v>1050</v>
      </c>
      <c r="F162" s="168" t="s">
        <v>1087</v>
      </c>
      <c r="G162" s="165" t="s">
        <v>161</v>
      </c>
      <c r="H162" s="133" t="s">
        <v>1232</v>
      </c>
      <c r="I162" s="147" t="s">
        <v>32</v>
      </c>
      <c r="J162" s="133" t="s">
        <v>1232</v>
      </c>
      <c r="K162" s="147" t="s">
        <v>162</v>
      </c>
      <c r="L162" s="133">
        <v>41</v>
      </c>
      <c r="M162" s="147">
        <v>0</v>
      </c>
      <c r="N162" s="147">
        <v>0</v>
      </c>
      <c r="O162" s="166">
        <v>2</v>
      </c>
      <c r="P162" s="166" t="s">
        <v>163</v>
      </c>
      <c r="Q162" s="167"/>
    </row>
    <row r="163" spans="1:17" ht="30">
      <c r="A163" s="153" t="s">
        <v>425</v>
      </c>
      <c r="B163" s="82" t="s">
        <v>1233</v>
      </c>
      <c r="C163" s="147"/>
      <c r="D163" s="184" t="s">
        <v>1086</v>
      </c>
      <c r="E163" s="166" t="s">
        <v>1050</v>
      </c>
      <c r="F163" s="168" t="s">
        <v>1087</v>
      </c>
      <c r="G163" s="165" t="s">
        <v>164</v>
      </c>
      <c r="H163" s="133" t="s">
        <v>1233</v>
      </c>
      <c r="I163" s="147" t="s">
        <v>32</v>
      </c>
      <c r="J163" s="133" t="s">
        <v>1233</v>
      </c>
      <c r="K163" s="147" t="s">
        <v>165</v>
      </c>
      <c r="L163" s="133">
        <v>42</v>
      </c>
      <c r="M163" s="147">
        <v>0</v>
      </c>
      <c r="N163" s="147">
        <v>0</v>
      </c>
      <c r="O163" s="166">
        <v>2</v>
      </c>
      <c r="P163" s="166" t="s">
        <v>166</v>
      </c>
      <c r="Q163" s="167"/>
    </row>
    <row r="164" spans="1:17" ht="30">
      <c r="A164" s="153" t="s">
        <v>427</v>
      </c>
      <c r="B164" s="82" t="s">
        <v>1234</v>
      </c>
      <c r="C164" s="147"/>
      <c r="D164" s="184" t="s">
        <v>1223</v>
      </c>
      <c r="E164" s="166" t="s">
        <v>1134</v>
      </c>
      <c r="F164" s="168" t="s">
        <v>1134</v>
      </c>
      <c r="G164" s="165" t="s">
        <v>717</v>
      </c>
      <c r="H164" s="133" t="s">
        <v>1234</v>
      </c>
      <c r="I164" s="147" t="s">
        <v>32</v>
      </c>
      <c r="J164" s="133" t="s">
        <v>1234</v>
      </c>
      <c r="K164" s="147" t="s">
        <v>718</v>
      </c>
      <c r="L164" s="133">
        <v>594</v>
      </c>
      <c r="M164" s="147">
        <v>0</v>
      </c>
      <c r="N164" s="147">
        <v>0</v>
      </c>
      <c r="O164" s="166">
        <v>2</v>
      </c>
      <c r="P164" s="166" t="s">
        <v>719</v>
      </c>
      <c r="Q164" s="167"/>
    </row>
    <row r="165" spans="1:17" ht="30">
      <c r="A165" s="156" t="s">
        <v>429</v>
      </c>
      <c r="B165" s="82" t="s">
        <v>1235</v>
      </c>
      <c r="C165" s="147"/>
      <c r="D165" s="185" t="s">
        <v>1197</v>
      </c>
      <c r="E165" s="133" t="s">
        <v>1197</v>
      </c>
      <c r="F165" s="82" t="s">
        <v>1197</v>
      </c>
      <c r="G165" s="165" t="s">
        <v>720</v>
      </c>
      <c r="H165" s="133" t="s">
        <v>1235</v>
      </c>
      <c r="I165" s="147" t="s">
        <v>32</v>
      </c>
      <c r="J165" s="133" t="s">
        <v>1235</v>
      </c>
      <c r="K165" s="147" t="s">
        <v>721</v>
      </c>
      <c r="L165" s="133">
        <v>602</v>
      </c>
      <c r="M165" s="147">
        <v>0</v>
      </c>
      <c r="N165" s="147">
        <v>0</v>
      </c>
      <c r="O165" s="166">
        <v>2</v>
      </c>
      <c r="P165" s="175" t="s">
        <v>722</v>
      </c>
      <c r="Q165" s="167"/>
    </row>
    <row r="166" spans="1:17" ht="30">
      <c r="A166" s="156" t="s">
        <v>431</v>
      </c>
      <c r="B166" s="82" t="s">
        <v>1235</v>
      </c>
      <c r="C166" s="147"/>
      <c r="D166" s="185" t="s">
        <v>1197</v>
      </c>
      <c r="E166" s="133" t="s">
        <v>1197</v>
      </c>
      <c r="F166" s="82" t="s">
        <v>1197</v>
      </c>
      <c r="G166" s="165" t="s">
        <v>720</v>
      </c>
      <c r="H166" s="133" t="s">
        <v>1235</v>
      </c>
      <c r="I166" s="147" t="s">
        <v>488</v>
      </c>
      <c r="J166" s="133" t="s">
        <v>1235</v>
      </c>
      <c r="K166" s="147" t="s">
        <v>723</v>
      </c>
      <c r="L166" s="133">
        <v>867</v>
      </c>
      <c r="M166" s="147">
        <v>0</v>
      </c>
      <c r="N166" s="147">
        <v>0</v>
      </c>
      <c r="O166" s="166">
        <v>2</v>
      </c>
      <c r="P166" s="175" t="s">
        <v>724</v>
      </c>
      <c r="Q166" s="167" t="s">
        <v>1307</v>
      </c>
    </row>
    <row r="167" spans="1:17" ht="30">
      <c r="A167" s="156" t="s">
        <v>432</v>
      </c>
      <c r="B167" s="82" t="s">
        <v>1236</v>
      </c>
      <c r="C167" s="147"/>
      <c r="D167" s="183" t="s">
        <v>1237</v>
      </c>
      <c r="E167" s="163" t="s">
        <v>1238</v>
      </c>
      <c r="F167" s="164" t="s">
        <v>1238</v>
      </c>
      <c r="G167" s="165" t="s">
        <v>725</v>
      </c>
      <c r="H167" s="133" t="s">
        <v>1236</v>
      </c>
      <c r="I167" s="147" t="s">
        <v>32</v>
      </c>
      <c r="J167" s="133" t="s">
        <v>1236</v>
      </c>
      <c r="K167" s="147" t="s">
        <v>726</v>
      </c>
      <c r="L167" s="133">
        <v>864</v>
      </c>
      <c r="M167" s="147">
        <v>18</v>
      </c>
      <c r="N167" s="147">
        <v>0</v>
      </c>
      <c r="O167" s="166">
        <v>2</v>
      </c>
      <c r="P167" s="175" t="s">
        <v>727</v>
      </c>
      <c r="Q167" s="167"/>
    </row>
    <row r="168" spans="1:17" ht="30">
      <c r="A168" s="156" t="s">
        <v>434</v>
      </c>
      <c r="B168" s="82" t="s">
        <v>1239</v>
      </c>
      <c r="C168" s="147"/>
      <c r="D168" s="183" t="s">
        <v>1237</v>
      </c>
      <c r="E168" s="163" t="s">
        <v>1238</v>
      </c>
      <c r="F168" s="164" t="s">
        <v>1238</v>
      </c>
      <c r="G168" s="165" t="s">
        <v>728</v>
      </c>
      <c r="H168" s="133" t="s">
        <v>1239</v>
      </c>
      <c r="I168" s="147" t="s">
        <v>32</v>
      </c>
      <c r="J168" s="133" t="s">
        <v>1239</v>
      </c>
      <c r="K168" s="147" t="s">
        <v>729</v>
      </c>
      <c r="L168" s="133">
        <v>865</v>
      </c>
      <c r="M168" s="147">
        <v>18</v>
      </c>
      <c r="N168" s="147">
        <v>0</v>
      </c>
      <c r="O168" s="166">
        <v>2</v>
      </c>
      <c r="P168" s="175" t="s">
        <v>730</v>
      </c>
      <c r="Q168" s="167"/>
    </row>
    <row r="169" spans="1:17" ht="30">
      <c r="A169" s="156" t="s">
        <v>436</v>
      </c>
      <c r="B169" s="82" t="s">
        <v>1240</v>
      </c>
      <c r="C169" s="147"/>
      <c r="D169" s="185" t="s">
        <v>1241</v>
      </c>
      <c r="E169" s="133" t="s">
        <v>1242</v>
      </c>
      <c r="F169" s="82" t="s">
        <v>1243</v>
      </c>
      <c r="G169" s="165" t="s">
        <v>731</v>
      </c>
      <c r="H169" s="133" t="s">
        <v>1240</v>
      </c>
      <c r="I169" s="147" t="s">
        <v>32</v>
      </c>
      <c r="J169" s="133" t="s">
        <v>1240</v>
      </c>
      <c r="K169" s="147" t="s">
        <v>732</v>
      </c>
      <c r="L169" s="133">
        <v>879</v>
      </c>
      <c r="M169" s="147">
        <v>18</v>
      </c>
      <c r="N169" s="147">
        <v>0</v>
      </c>
      <c r="O169" s="166">
        <v>2</v>
      </c>
      <c r="P169" s="175" t="s">
        <v>733</v>
      </c>
      <c r="Q169" s="167"/>
    </row>
    <row r="170" spans="1:17" ht="30">
      <c r="A170" s="153" t="s">
        <v>438</v>
      </c>
      <c r="B170" s="82" t="s">
        <v>1240</v>
      </c>
      <c r="C170" s="147"/>
      <c r="D170" s="183" t="s">
        <v>1217</v>
      </c>
      <c r="E170" s="163" t="s">
        <v>1218</v>
      </c>
      <c r="F170" s="164" t="s">
        <v>1218</v>
      </c>
      <c r="G170" s="165" t="s">
        <v>731</v>
      </c>
      <c r="H170" s="133" t="s">
        <v>1240</v>
      </c>
      <c r="I170" s="147" t="s">
        <v>32</v>
      </c>
      <c r="J170" s="133" t="s">
        <v>1240</v>
      </c>
      <c r="K170" s="147" t="s">
        <v>732</v>
      </c>
      <c r="L170" s="133">
        <v>904</v>
      </c>
      <c r="M170" s="147">
        <v>0</v>
      </c>
      <c r="N170" s="147">
        <v>0</v>
      </c>
      <c r="O170" s="166">
        <v>2</v>
      </c>
      <c r="P170" s="175" t="s">
        <v>734</v>
      </c>
      <c r="Q170" s="167"/>
    </row>
    <row r="171" spans="1:17" ht="30">
      <c r="A171" s="156" t="s">
        <v>439</v>
      </c>
      <c r="B171" s="82" t="s">
        <v>1244</v>
      </c>
      <c r="C171" s="147"/>
      <c r="D171" s="185" t="s">
        <v>1241</v>
      </c>
      <c r="E171" s="133" t="s">
        <v>1242</v>
      </c>
      <c r="F171" s="82" t="s">
        <v>1243</v>
      </c>
      <c r="G171" s="165" t="s">
        <v>735</v>
      </c>
      <c r="H171" s="133" t="s">
        <v>1244</v>
      </c>
      <c r="I171" s="147" t="s">
        <v>32</v>
      </c>
      <c r="J171" s="133" t="s">
        <v>1244</v>
      </c>
      <c r="K171" s="147" t="s">
        <v>736</v>
      </c>
      <c r="L171" s="133">
        <v>880</v>
      </c>
      <c r="M171" s="147">
        <v>18</v>
      </c>
      <c r="N171" s="147">
        <v>0</v>
      </c>
      <c r="O171" s="166">
        <v>2</v>
      </c>
      <c r="P171" s="175" t="s">
        <v>737</v>
      </c>
      <c r="Q171" s="167"/>
    </row>
    <row r="172" spans="1:17" ht="30">
      <c r="A172" s="153" t="s">
        <v>441</v>
      </c>
      <c r="B172" s="82" t="s">
        <v>1245</v>
      </c>
      <c r="C172" s="147"/>
      <c r="D172" s="185" t="s">
        <v>1246</v>
      </c>
      <c r="E172" s="133" t="s">
        <v>1246</v>
      </c>
      <c r="F172" s="82" t="s">
        <v>1246</v>
      </c>
      <c r="G172" s="165" t="s">
        <v>738</v>
      </c>
      <c r="H172" s="133" t="s">
        <v>1245</v>
      </c>
      <c r="I172" s="147" t="s">
        <v>32</v>
      </c>
      <c r="J172" s="133" t="s">
        <v>1245</v>
      </c>
      <c r="K172" s="147" t="s">
        <v>739</v>
      </c>
      <c r="L172" s="133">
        <v>933</v>
      </c>
      <c r="M172" s="147">
        <v>0</v>
      </c>
      <c r="N172" s="147">
        <v>0</v>
      </c>
      <c r="O172" s="166">
        <v>2</v>
      </c>
      <c r="P172" s="166" t="s">
        <v>740</v>
      </c>
      <c r="Q172" s="167"/>
    </row>
    <row r="173" spans="1:17" ht="30">
      <c r="A173" s="153" t="s">
        <v>443</v>
      </c>
      <c r="B173" s="82" t="s">
        <v>1247</v>
      </c>
      <c r="C173" s="147"/>
      <c r="D173" s="184" t="s">
        <v>1248</v>
      </c>
      <c r="E173" s="172" t="s">
        <v>1081</v>
      </c>
      <c r="F173" s="173" t="s">
        <v>1225</v>
      </c>
      <c r="G173" s="165" t="s">
        <v>167</v>
      </c>
      <c r="H173" s="133" t="s">
        <v>1247</v>
      </c>
      <c r="I173" s="147" t="s">
        <v>32</v>
      </c>
      <c r="J173" s="133" t="s">
        <v>1247</v>
      </c>
      <c r="K173" s="147" t="s">
        <v>168</v>
      </c>
      <c r="L173" s="133">
        <v>43</v>
      </c>
      <c r="M173" s="147">
        <v>0</v>
      </c>
      <c r="N173" s="147">
        <v>0</v>
      </c>
      <c r="O173" s="166">
        <v>2</v>
      </c>
      <c r="P173" s="166" t="s">
        <v>169</v>
      </c>
      <c r="Q173" s="167"/>
    </row>
    <row r="174" spans="1:17" ht="30">
      <c r="A174" s="153" t="s">
        <v>445</v>
      </c>
      <c r="B174" s="82" t="s">
        <v>1249</v>
      </c>
      <c r="C174" s="147"/>
      <c r="D174" s="184" t="s">
        <v>1086</v>
      </c>
      <c r="E174" s="166" t="s">
        <v>1050</v>
      </c>
      <c r="F174" s="168" t="s">
        <v>1087</v>
      </c>
      <c r="G174" s="165" t="s">
        <v>170</v>
      </c>
      <c r="H174" s="133" t="s">
        <v>1249</v>
      </c>
      <c r="I174" s="147" t="s">
        <v>32</v>
      </c>
      <c r="J174" s="133" t="s">
        <v>1249</v>
      </c>
      <c r="K174" s="147" t="s">
        <v>171</v>
      </c>
      <c r="L174" s="133">
        <v>44</v>
      </c>
      <c r="M174" s="147">
        <v>0</v>
      </c>
      <c r="N174" s="147">
        <v>0</v>
      </c>
      <c r="O174" s="166">
        <v>2</v>
      </c>
      <c r="P174" s="166" t="s">
        <v>172</v>
      </c>
      <c r="Q174" s="167"/>
    </row>
    <row r="175" spans="1:17" ht="30">
      <c r="A175" s="153" t="s">
        <v>447</v>
      </c>
      <c r="B175" s="82" t="s">
        <v>1250</v>
      </c>
      <c r="C175" s="147"/>
      <c r="D175" s="186" t="s">
        <v>1047</v>
      </c>
      <c r="E175" s="176" t="s">
        <v>1251</v>
      </c>
      <c r="F175" s="177" t="s">
        <v>1252</v>
      </c>
      <c r="G175" s="165" t="s">
        <v>741</v>
      </c>
      <c r="H175" s="133" t="s">
        <v>1250</v>
      </c>
      <c r="I175" s="147" t="s">
        <v>32</v>
      </c>
      <c r="J175" s="133" t="s">
        <v>1250</v>
      </c>
      <c r="K175" s="147" t="s">
        <v>742</v>
      </c>
      <c r="L175" s="133">
        <v>593</v>
      </c>
      <c r="M175" s="147">
        <v>0</v>
      </c>
      <c r="N175" s="147">
        <v>0</v>
      </c>
      <c r="O175" s="166">
        <v>2</v>
      </c>
      <c r="P175" s="166" t="s">
        <v>743</v>
      </c>
      <c r="Q175" s="167"/>
    </row>
    <row r="176" spans="1:17" ht="30">
      <c r="A176" s="154" t="s">
        <v>449</v>
      </c>
      <c r="B176" s="82" t="s">
        <v>1253</v>
      </c>
      <c r="C176" s="147"/>
      <c r="D176" s="187" t="s">
        <v>1254</v>
      </c>
      <c r="E176" s="175" t="s">
        <v>1255</v>
      </c>
      <c r="F176" s="178" t="s">
        <v>1256</v>
      </c>
      <c r="G176" s="165" t="s">
        <v>744</v>
      </c>
      <c r="H176" s="133" t="s">
        <v>1253</v>
      </c>
      <c r="I176" s="147" t="s">
        <v>32</v>
      </c>
      <c r="J176" s="133" t="s">
        <v>1253</v>
      </c>
      <c r="K176" s="147" t="s">
        <v>745</v>
      </c>
      <c r="L176" s="133">
        <v>58</v>
      </c>
      <c r="M176" s="147">
        <v>2</v>
      </c>
      <c r="N176" s="147">
        <v>0</v>
      </c>
      <c r="O176" s="133">
        <v>2</v>
      </c>
      <c r="P176" s="166" t="s">
        <v>746</v>
      </c>
      <c r="Q176" s="171"/>
    </row>
    <row r="177" spans="1:17" ht="30">
      <c r="A177" s="153" t="s">
        <v>451</v>
      </c>
      <c r="B177" s="82" t="s">
        <v>1257</v>
      </c>
      <c r="C177" s="147"/>
      <c r="D177" s="184" t="s">
        <v>1248</v>
      </c>
      <c r="E177" s="172" t="s">
        <v>1081</v>
      </c>
      <c r="F177" s="173" t="s">
        <v>1225</v>
      </c>
      <c r="G177" s="165" t="s">
        <v>173</v>
      </c>
      <c r="H177" s="133" t="s">
        <v>1257</v>
      </c>
      <c r="I177" s="147" t="s">
        <v>32</v>
      </c>
      <c r="J177" s="133" t="s">
        <v>1257</v>
      </c>
      <c r="K177" s="147" t="s">
        <v>174</v>
      </c>
      <c r="L177" s="133">
        <v>48</v>
      </c>
      <c r="M177" s="147">
        <v>0</v>
      </c>
      <c r="N177" s="147">
        <v>0</v>
      </c>
      <c r="O177" s="166">
        <v>2</v>
      </c>
      <c r="P177" s="166" t="s">
        <v>175</v>
      </c>
      <c r="Q177" s="167"/>
    </row>
    <row r="178" spans="1:17" ht="30">
      <c r="A178" s="154" t="s">
        <v>453</v>
      </c>
      <c r="B178" s="82" t="s">
        <v>1258</v>
      </c>
      <c r="C178" s="147"/>
      <c r="D178" s="185" t="s">
        <v>1259</v>
      </c>
      <c r="E178" s="133" t="s">
        <v>1197</v>
      </c>
      <c r="F178" s="82" t="s">
        <v>1197</v>
      </c>
      <c r="G178" s="165" t="s">
        <v>747</v>
      </c>
      <c r="H178" s="133" t="s">
        <v>1258</v>
      </c>
      <c r="I178" s="147" t="s">
        <v>32</v>
      </c>
      <c r="J178" s="133" t="s">
        <v>1258</v>
      </c>
      <c r="K178" s="147" t="s">
        <v>748</v>
      </c>
      <c r="L178" s="133">
        <v>603</v>
      </c>
      <c r="M178" s="147">
        <v>0</v>
      </c>
      <c r="N178" s="147">
        <v>0</v>
      </c>
      <c r="O178" s="166">
        <v>2</v>
      </c>
      <c r="P178" s="166" t="s">
        <v>749</v>
      </c>
      <c r="Q178" s="167"/>
    </row>
    <row r="179" spans="1:17" ht="30">
      <c r="A179" s="154" t="s">
        <v>455</v>
      </c>
      <c r="B179" s="82" t="s">
        <v>1258</v>
      </c>
      <c r="C179" s="147"/>
      <c r="D179" s="185" t="s">
        <v>1197</v>
      </c>
      <c r="E179" s="133" t="s">
        <v>1197</v>
      </c>
      <c r="F179" s="82" t="s">
        <v>1197</v>
      </c>
      <c r="G179" s="165" t="s">
        <v>747</v>
      </c>
      <c r="H179" s="133" t="s">
        <v>1258</v>
      </c>
      <c r="I179" s="147" t="s">
        <v>488</v>
      </c>
      <c r="J179" s="133" t="s">
        <v>1258</v>
      </c>
      <c r="K179" s="147" t="s">
        <v>750</v>
      </c>
      <c r="L179" s="133">
        <v>868</v>
      </c>
      <c r="M179" s="147">
        <v>0</v>
      </c>
      <c r="N179" s="147">
        <v>0</v>
      </c>
      <c r="O179" s="166">
        <v>2</v>
      </c>
      <c r="P179" s="166" t="s">
        <v>751</v>
      </c>
      <c r="Q179" s="167" t="s">
        <v>1307</v>
      </c>
    </row>
    <row r="180" spans="1:17" ht="30">
      <c r="A180" s="153" t="s">
        <v>456</v>
      </c>
      <c r="B180" s="82" t="s">
        <v>1260</v>
      </c>
      <c r="C180" s="147"/>
      <c r="D180" s="184" t="s">
        <v>1086</v>
      </c>
      <c r="E180" s="166" t="s">
        <v>1050</v>
      </c>
      <c r="F180" s="168" t="s">
        <v>1087</v>
      </c>
      <c r="G180" s="165" t="s">
        <v>177</v>
      </c>
      <c r="H180" s="133" t="s">
        <v>1260</v>
      </c>
      <c r="I180" s="147" t="s">
        <v>32</v>
      </c>
      <c r="J180" s="133" t="s">
        <v>1260</v>
      </c>
      <c r="K180" s="147" t="s">
        <v>178</v>
      </c>
      <c r="L180" s="133">
        <v>50</v>
      </c>
      <c r="M180" s="147">
        <v>0</v>
      </c>
      <c r="N180" s="147">
        <v>0</v>
      </c>
      <c r="O180" s="166">
        <v>2</v>
      </c>
      <c r="P180" s="166" t="s">
        <v>752</v>
      </c>
      <c r="Q180" s="167"/>
    </row>
    <row r="181" spans="1:17" ht="30">
      <c r="A181" s="257" t="s">
        <v>914</v>
      </c>
      <c r="B181" s="258" t="s">
        <v>1280</v>
      </c>
      <c r="C181" s="208"/>
      <c r="D181" s="258" t="s">
        <v>1281</v>
      </c>
      <c r="E181" s="258" t="s">
        <v>1281</v>
      </c>
      <c r="F181" s="259" t="s">
        <v>1281</v>
      </c>
      <c r="G181" s="260" t="s">
        <v>928</v>
      </c>
      <c r="H181" s="258" t="s">
        <v>1280</v>
      </c>
      <c r="I181" s="208" t="s">
        <v>32</v>
      </c>
      <c r="J181" s="258" t="s">
        <v>1280</v>
      </c>
      <c r="K181" s="208" t="s">
        <v>929</v>
      </c>
      <c r="L181" s="258">
        <v>1056</v>
      </c>
      <c r="M181" s="208">
        <v>0</v>
      </c>
      <c r="N181" s="208">
        <v>0</v>
      </c>
      <c r="O181" s="261">
        <v>2</v>
      </c>
      <c r="P181" s="261" t="s">
        <v>930</v>
      </c>
      <c r="Q181" s="171"/>
    </row>
    <row r="182" spans="1:17" ht="30">
      <c r="A182" s="262" t="s">
        <v>458</v>
      </c>
      <c r="B182" s="259" t="s">
        <v>1261</v>
      </c>
      <c r="C182" s="208"/>
      <c r="D182" s="263" t="s">
        <v>1248</v>
      </c>
      <c r="E182" s="264" t="s">
        <v>1081</v>
      </c>
      <c r="F182" s="265" t="s">
        <v>1225</v>
      </c>
      <c r="G182" s="260" t="s">
        <v>179</v>
      </c>
      <c r="H182" s="258" t="s">
        <v>1261</v>
      </c>
      <c r="I182" s="208" t="s">
        <v>32</v>
      </c>
      <c r="J182" s="258" t="s">
        <v>1261</v>
      </c>
      <c r="K182" s="208" t="s">
        <v>180</v>
      </c>
      <c r="L182" s="258">
        <v>49</v>
      </c>
      <c r="M182" s="208">
        <v>0</v>
      </c>
      <c r="N182" s="208">
        <v>0</v>
      </c>
      <c r="O182" s="261">
        <v>2</v>
      </c>
      <c r="P182" s="261" t="s">
        <v>753</v>
      </c>
      <c r="Q182" s="167"/>
    </row>
    <row r="183" spans="1:17" ht="30">
      <c r="A183" s="262" t="s">
        <v>460</v>
      </c>
      <c r="B183" s="259" t="s">
        <v>1262</v>
      </c>
      <c r="C183" s="208"/>
      <c r="D183" s="263" t="s">
        <v>1223</v>
      </c>
      <c r="E183" s="261" t="s">
        <v>1134</v>
      </c>
      <c r="F183" s="266" t="s">
        <v>1134</v>
      </c>
      <c r="G183" s="260" t="s">
        <v>754</v>
      </c>
      <c r="H183" s="258" t="s">
        <v>1262</v>
      </c>
      <c r="I183" s="208" t="s">
        <v>32</v>
      </c>
      <c r="J183" s="258" t="s">
        <v>1262</v>
      </c>
      <c r="K183" s="208" t="s">
        <v>755</v>
      </c>
      <c r="L183" s="258">
        <v>595</v>
      </c>
      <c r="M183" s="208">
        <v>0</v>
      </c>
      <c r="N183" s="208">
        <v>0</v>
      </c>
      <c r="O183" s="261">
        <v>2</v>
      </c>
      <c r="P183" s="261" t="s">
        <v>756</v>
      </c>
      <c r="Q183" s="167"/>
    </row>
    <row r="184" spans="1:17" ht="30">
      <c r="A184" s="262" t="s">
        <v>462</v>
      </c>
      <c r="B184" s="259" t="s">
        <v>1263</v>
      </c>
      <c r="C184" s="208"/>
      <c r="D184" s="267" t="s">
        <v>1092</v>
      </c>
      <c r="E184" s="268" t="s">
        <v>1092</v>
      </c>
      <c r="F184" s="269" t="s">
        <v>1092</v>
      </c>
      <c r="G184" s="260" t="s">
        <v>757</v>
      </c>
      <c r="H184" s="258" t="s">
        <v>1263</v>
      </c>
      <c r="I184" s="208" t="s">
        <v>32</v>
      </c>
      <c r="J184" s="258" t="s">
        <v>1263</v>
      </c>
      <c r="K184" s="208" t="s">
        <v>758</v>
      </c>
      <c r="L184" s="258">
        <v>905</v>
      </c>
      <c r="M184" s="208">
        <v>0</v>
      </c>
      <c r="N184" s="208">
        <v>0</v>
      </c>
      <c r="O184" s="261">
        <v>2</v>
      </c>
      <c r="P184" s="261" t="s">
        <v>759</v>
      </c>
      <c r="Q184" s="167"/>
    </row>
    <row r="185" spans="1:17" ht="30">
      <c r="A185" s="257" t="s">
        <v>464</v>
      </c>
      <c r="B185" s="259" t="s">
        <v>1264</v>
      </c>
      <c r="C185" s="208"/>
      <c r="D185" s="270" t="s">
        <v>1197</v>
      </c>
      <c r="E185" s="258" t="s">
        <v>1197</v>
      </c>
      <c r="F185" s="259" t="s">
        <v>1197</v>
      </c>
      <c r="G185" s="260" t="s">
        <v>760</v>
      </c>
      <c r="H185" s="258" t="s">
        <v>1264</v>
      </c>
      <c r="I185" s="208" t="s">
        <v>32</v>
      </c>
      <c r="J185" s="258" t="s">
        <v>1264</v>
      </c>
      <c r="K185" s="208" t="s">
        <v>761</v>
      </c>
      <c r="L185" s="258">
        <v>601</v>
      </c>
      <c r="M185" s="208">
        <v>0</v>
      </c>
      <c r="N185" s="208">
        <v>0</v>
      </c>
      <c r="O185" s="258">
        <v>2</v>
      </c>
      <c r="P185" s="261" t="s">
        <v>762</v>
      </c>
      <c r="Q185" s="171"/>
    </row>
    <row r="186" spans="1:17" ht="30">
      <c r="A186" s="257" t="s">
        <v>466</v>
      </c>
      <c r="B186" s="259" t="s">
        <v>1264</v>
      </c>
      <c r="C186" s="208"/>
      <c r="D186" s="270" t="s">
        <v>1197</v>
      </c>
      <c r="E186" s="258" t="s">
        <v>1197</v>
      </c>
      <c r="F186" s="259" t="s">
        <v>1197</v>
      </c>
      <c r="G186" s="260" t="s">
        <v>760</v>
      </c>
      <c r="H186" s="258" t="s">
        <v>1264</v>
      </c>
      <c r="I186" s="208" t="s">
        <v>488</v>
      </c>
      <c r="J186" s="258" t="s">
        <v>1264</v>
      </c>
      <c r="K186" s="208" t="s">
        <v>763</v>
      </c>
      <c r="L186" s="258">
        <v>866</v>
      </c>
      <c r="M186" s="208">
        <v>0</v>
      </c>
      <c r="N186" s="208">
        <v>0</v>
      </c>
      <c r="O186" s="258">
        <v>2</v>
      </c>
      <c r="P186" s="261" t="s">
        <v>764</v>
      </c>
      <c r="Q186" s="167" t="s">
        <v>1307</v>
      </c>
    </row>
    <row r="187" spans="1:17" ht="30">
      <c r="A187" s="257" t="s">
        <v>916</v>
      </c>
      <c r="B187" s="258" t="s">
        <v>1282</v>
      </c>
      <c r="C187" s="208"/>
      <c r="D187" s="258" t="s">
        <v>1281</v>
      </c>
      <c r="E187" s="258" t="s">
        <v>1281</v>
      </c>
      <c r="F187" s="259" t="s">
        <v>1281</v>
      </c>
      <c r="G187" s="260" t="s">
        <v>931</v>
      </c>
      <c r="H187" s="258" t="s">
        <v>1282</v>
      </c>
      <c r="I187" s="208" t="s">
        <v>32</v>
      </c>
      <c r="J187" s="258" t="s">
        <v>1282</v>
      </c>
      <c r="K187" s="208" t="s">
        <v>932</v>
      </c>
      <c r="L187" s="258">
        <v>1057</v>
      </c>
      <c r="M187" s="208">
        <v>0</v>
      </c>
      <c r="N187" s="208">
        <v>0</v>
      </c>
      <c r="O187" s="258">
        <v>2</v>
      </c>
      <c r="P187" s="261" t="s">
        <v>933</v>
      </c>
      <c r="Q187" s="171"/>
    </row>
    <row r="188" spans="1:17" ht="30">
      <c r="A188" s="262" t="s">
        <v>467</v>
      </c>
      <c r="B188" s="259" t="s">
        <v>1265</v>
      </c>
      <c r="C188" s="208"/>
      <c r="D188" s="270" t="s">
        <v>1266</v>
      </c>
      <c r="E188" s="258" t="s">
        <v>1267</v>
      </c>
      <c r="F188" s="259" t="s">
        <v>1266</v>
      </c>
      <c r="G188" s="260" t="s">
        <v>765</v>
      </c>
      <c r="H188" s="258" t="s">
        <v>1265</v>
      </c>
      <c r="I188" s="208" t="s">
        <v>32</v>
      </c>
      <c r="J188" s="258" t="s">
        <v>1265</v>
      </c>
      <c r="K188" s="208" t="s">
        <v>766</v>
      </c>
      <c r="L188" s="258">
        <v>930</v>
      </c>
      <c r="M188" s="208">
        <v>0</v>
      </c>
      <c r="N188" s="208">
        <v>0</v>
      </c>
      <c r="O188" s="258">
        <v>2</v>
      </c>
      <c r="P188" s="261" t="s">
        <v>767</v>
      </c>
      <c r="Q188" s="171"/>
    </row>
    <row r="189" spans="1:17" ht="30">
      <c r="A189" s="262" t="s">
        <v>469</v>
      </c>
      <c r="B189" s="259" t="s">
        <v>1268</v>
      </c>
      <c r="C189" s="208"/>
      <c r="D189" s="267" t="s">
        <v>1113</v>
      </c>
      <c r="E189" s="268" t="s">
        <v>1113</v>
      </c>
      <c r="F189" s="269" t="s">
        <v>1113</v>
      </c>
      <c r="G189" s="260" t="s">
        <v>768</v>
      </c>
      <c r="H189" s="258" t="s">
        <v>1268</v>
      </c>
      <c r="I189" s="208" t="s">
        <v>32</v>
      </c>
      <c r="J189" s="258" t="s">
        <v>1268</v>
      </c>
      <c r="K189" s="208" t="s">
        <v>769</v>
      </c>
      <c r="L189" s="258">
        <v>906</v>
      </c>
      <c r="M189" s="208">
        <v>0</v>
      </c>
      <c r="N189" s="208">
        <v>0</v>
      </c>
      <c r="O189" s="258">
        <v>2</v>
      </c>
      <c r="P189" s="258" t="s">
        <v>770</v>
      </c>
      <c r="Q189" s="171"/>
    </row>
    <row r="190" spans="1:17" ht="30">
      <c r="A190" s="262" t="s">
        <v>471</v>
      </c>
      <c r="B190" s="259" t="s">
        <v>1269</v>
      </c>
      <c r="C190" s="208"/>
      <c r="D190" s="267" t="s">
        <v>1217</v>
      </c>
      <c r="E190" s="268" t="s">
        <v>1218</v>
      </c>
      <c r="F190" s="269" t="s">
        <v>1218</v>
      </c>
      <c r="G190" s="260" t="s">
        <v>771</v>
      </c>
      <c r="H190" s="258" t="s">
        <v>1269</v>
      </c>
      <c r="I190" s="208" t="s">
        <v>32</v>
      </c>
      <c r="J190" s="258" t="s">
        <v>1269</v>
      </c>
      <c r="K190" s="208" t="s">
        <v>772</v>
      </c>
      <c r="L190" s="258">
        <v>907</v>
      </c>
      <c r="M190" s="208">
        <v>0</v>
      </c>
      <c r="N190" s="208">
        <v>0</v>
      </c>
      <c r="O190" s="258">
        <v>2</v>
      </c>
      <c r="P190" s="258" t="s">
        <v>773</v>
      </c>
      <c r="Q190" s="171"/>
    </row>
    <row r="191" spans="1:17" ht="30">
      <c r="A191" s="262" t="s">
        <v>473</v>
      </c>
      <c r="B191" s="259" t="s">
        <v>1270</v>
      </c>
      <c r="C191" s="208"/>
      <c r="D191" s="267" t="s">
        <v>1168</v>
      </c>
      <c r="E191" s="268" t="s">
        <v>1168</v>
      </c>
      <c r="F191" s="269" t="s">
        <v>1168</v>
      </c>
      <c r="G191" s="260" t="s">
        <v>774</v>
      </c>
      <c r="H191" s="258" t="s">
        <v>1270</v>
      </c>
      <c r="I191" s="208" t="s">
        <v>32</v>
      </c>
      <c r="J191" s="258" t="s">
        <v>1270</v>
      </c>
      <c r="K191" s="208" t="s">
        <v>775</v>
      </c>
      <c r="L191" s="258">
        <v>908</v>
      </c>
      <c r="M191" s="208">
        <v>0</v>
      </c>
      <c r="N191" s="208">
        <v>0</v>
      </c>
      <c r="O191" s="258">
        <v>2</v>
      </c>
      <c r="P191" s="258" t="s">
        <v>776</v>
      </c>
      <c r="Q191" s="171"/>
    </row>
    <row r="192" spans="1:17" ht="30">
      <c r="A192" s="262" t="s">
        <v>475</v>
      </c>
      <c r="B192" s="259" t="s">
        <v>1271</v>
      </c>
      <c r="C192" s="208"/>
      <c r="D192" s="270" t="s">
        <v>1266</v>
      </c>
      <c r="E192" s="258" t="s">
        <v>1267</v>
      </c>
      <c r="F192" s="259" t="s">
        <v>1266</v>
      </c>
      <c r="G192" s="260" t="s">
        <v>777</v>
      </c>
      <c r="H192" s="258" t="s">
        <v>1271</v>
      </c>
      <c r="I192" s="208" t="s">
        <v>32</v>
      </c>
      <c r="J192" s="258" t="s">
        <v>1271</v>
      </c>
      <c r="K192" s="208" t="s">
        <v>778</v>
      </c>
      <c r="L192" s="258">
        <v>929</v>
      </c>
      <c r="M192" s="208">
        <v>0</v>
      </c>
      <c r="N192" s="208">
        <v>0</v>
      </c>
      <c r="O192" s="258">
        <v>2</v>
      </c>
      <c r="P192" s="261" t="s">
        <v>779</v>
      </c>
      <c r="Q192" s="171"/>
    </row>
    <row r="193" spans="1:17" ht="30">
      <c r="A193" s="262" t="s">
        <v>477</v>
      </c>
      <c r="B193" s="259" t="s">
        <v>1272</v>
      </c>
      <c r="C193" s="208"/>
      <c r="D193" s="270" t="s">
        <v>1246</v>
      </c>
      <c r="E193" s="258" t="s">
        <v>1246</v>
      </c>
      <c r="F193" s="259" t="s">
        <v>1246</v>
      </c>
      <c r="G193" s="260" t="s">
        <v>780</v>
      </c>
      <c r="H193" s="258" t="s">
        <v>1272</v>
      </c>
      <c r="I193" s="208" t="s">
        <v>32</v>
      </c>
      <c r="J193" s="258" t="s">
        <v>1272</v>
      </c>
      <c r="K193" s="208" t="s">
        <v>781</v>
      </c>
      <c r="L193" s="258">
        <v>931</v>
      </c>
      <c r="M193" s="208">
        <v>0</v>
      </c>
      <c r="N193" s="208">
        <v>0</v>
      </c>
      <c r="O193" s="258">
        <v>2</v>
      </c>
      <c r="P193" s="261" t="s">
        <v>782</v>
      </c>
      <c r="Q193" s="171"/>
    </row>
    <row r="194" spans="1:17" ht="30">
      <c r="A194" s="262" t="s">
        <v>479</v>
      </c>
      <c r="B194" s="259" t="s">
        <v>1273</v>
      </c>
      <c r="C194" s="208"/>
      <c r="D194" s="270" t="s">
        <v>1246</v>
      </c>
      <c r="E194" s="258" t="s">
        <v>1246</v>
      </c>
      <c r="F194" s="259" t="s">
        <v>1246</v>
      </c>
      <c r="G194" s="260" t="s">
        <v>783</v>
      </c>
      <c r="H194" s="258" t="s">
        <v>1273</v>
      </c>
      <c r="I194" s="208" t="s">
        <v>32</v>
      </c>
      <c r="J194" s="258" t="s">
        <v>1273</v>
      </c>
      <c r="K194" s="208" t="s">
        <v>784</v>
      </c>
      <c r="L194" s="258">
        <v>932</v>
      </c>
      <c r="M194" s="208">
        <v>0</v>
      </c>
      <c r="N194" s="208">
        <v>0</v>
      </c>
      <c r="O194" s="258">
        <v>2</v>
      </c>
      <c r="P194" s="261" t="s">
        <v>785</v>
      </c>
      <c r="Q194" s="171"/>
    </row>
    <row r="195" spans="1:17" ht="30">
      <c r="A195" s="262" t="s">
        <v>918</v>
      </c>
      <c r="B195" s="258" t="s">
        <v>1283</v>
      </c>
      <c r="C195" s="208"/>
      <c r="D195" s="258" t="s">
        <v>1284</v>
      </c>
      <c r="E195" s="258" t="s">
        <v>1284</v>
      </c>
      <c r="F195" s="259" t="s">
        <v>1284</v>
      </c>
      <c r="G195" s="260" t="s">
        <v>934</v>
      </c>
      <c r="H195" s="258" t="s">
        <v>1283</v>
      </c>
      <c r="I195" s="208" t="s">
        <v>32</v>
      </c>
      <c r="J195" s="258" t="s">
        <v>1283</v>
      </c>
      <c r="K195" s="208" t="s">
        <v>935</v>
      </c>
      <c r="L195" s="258">
        <v>1058</v>
      </c>
      <c r="M195" s="208">
        <v>0</v>
      </c>
      <c r="N195" s="208">
        <v>0</v>
      </c>
      <c r="O195" s="258">
        <v>2</v>
      </c>
      <c r="P195" s="261" t="s">
        <v>936</v>
      </c>
      <c r="Q195" s="171"/>
    </row>
    <row r="196" spans="1:17" ht="30.75" thickBot="1">
      <c r="A196" s="271" t="s">
        <v>920</v>
      </c>
      <c r="B196" s="272" t="s">
        <v>1285</v>
      </c>
      <c r="C196" s="209"/>
      <c r="D196" s="272" t="s">
        <v>1284</v>
      </c>
      <c r="E196" s="272" t="s">
        <v>1284</v>
      </c>
      <c r="F196" s="273" t="s">
        <v>1284</v>
      </c>
      <c r="G196" s="274" t="s">
        <v>937</v>
      </c>
      <c r="H196" s="272" t="s">
        <v>1285</v>
      </c>
      <c r="I196" s="209" t="s">
        <v>32</v>
      </c>
      <c r="J196" s="272" t="s">
        <v>1285</v>
      </c>
      <c r="K196" s="209" t="s">
        <v>938</v>
      </c>
      <c r="L196" s="272">
        <v>1059</v>
      </c>
      <c r="M196" s="209">
        <v>0</v>
      </c>
      <c r="N196" s="209">
        <v>0</v>
      </c>
      <c r="O196" s="272">
        <v>2</v>
      </c>
      <c r="P196" s="275" t="s">
        <v>939</v>
      </c>
      <c r="Q196" s="179"/>
    </row>
  </sheetData>
  <autoFilter ref="A5:Q5" xr:uid="{00000000-0009-0000-0000-000004000000}"/>
  <mergeCells count="5">
    <mergeCell ref="A1:F1"/>
    <mergeCell ref="G4:Q4"/>
    <mergeCell ref="A4:F4"/>
    <mergeCell ref="A2:F2"/>
    <mergeCell ref="G2:J2"/>
  </mergeCells>
  <phoneticPr fontId="2"/>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eload_DataList_Click">
                <anchor moveWithCells="1" sizeWithCells="1">
                  <from>
                    <xdr:col>1</xdr:col>
                    <xdr:colOff>76200</xdr:colOff>
                    <xdr:row>1</xdr:row>
                    <xdr:rowOff>47625</xdr:rowOff>
                  </from>
                  <to>
                    <xdr:col>3</xdr:col>
                    <xdr:colOff>1276350</xdr:colOff>
                    <xdr:row>1</xdr:row>
                    <xdr:rowOff>390525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923B3C-2808-4A46-A4EC-ED430BC80510}">
  <sheetPr codeName="Sheet10">
    <tabColor theme="0" tint="-0.34998626667073579"/>
  </sheetPr>
  <dimension ref="A1:C126"/>
  <sheetViews>
    <sheetView workbookViewId="0">
      <selection activeCell="N3" sqref="N3"/>
    </sheetView>
  </sheetViews>
  <sheetFormatPr defaultColWidth="8.7109375" defaultRowHeight="15"/>
  <cols>
    <col min="1" max="1" width="14.85546875" style="122" customWidth="1"/>
    <col min="2" max="3" width="20.7109375" style="122" customWidth="1"/>
    <col min="4" max="16384" width="8.7109375" style="122"/>
  </cols>
  <sheetData>
    <row r="1" spans="1:3" ht="30">
      <c r="A1" s="134" t="s">
        <v>1</v>
      </c>
      <c r="B1" s="247" t="s">
        <v>14</v>
      </c>
      <c r="C1" s="247"/>
    </row>
    <row r="2" spans="1:3" ht="45.75" thickBot="1">
      <c r="A2" s="135" t="s">
        <v>15</v>
      </c>
      <c r="B2" s="139" t="s">
        <v>2</v>
      </c>
      <c r="C2" s="137" t="s">
        <v>3</v>
      </c>
    </row>
    <row r="3" spans="1:3" ht="15.75" thickTop="1">
      <c r="A3" s="197" t="s">
        <v>23</v>
      </c>
      <c r="B3" s="198" t="s">
        <v>186</v>
      </c>
      <c r="C3" s="199" t="s">
        <v>25</v>
      </c>
    </row>
    <row r="4" spans="1:3" ht="30">
      <c r="A4" s="200" t="s">
        <v>28</v>
      </c>
      <c r="B4" s="201" t="s">
        <v>196</v>
      </c>
      <c r="C4" s="202" t="s">
        <v>31</v>
      </c>
    </row>
    <row r="5" spans="1:3">
      <c r="A5" s="200" t="s">
        <v>33</v>
      </c>
      <c r="B5" s="201" t="s">
        <v>199</v>
      </c>
      <c r="C5" s="202" t="s">
        <v>36</v>
      </c>
    </row>
    <row r="6" spans="1:3" ht="30">
      <c r="A6" s="200" t="s">
        <v>37</v>
      </c>
      <c r="B6" s="201" t="s">
        <v>204</v>
      </c>
      <c r="C6" s="202" t="s">
        <v>40</v>
      </c>
    </row>
    <row r="7" spans="1:3" ht="30">
      <c r="A7" s="200" t="s">
        <v>41</v>
      </c>
      <c r="B7" s="201" t="s">
        <v>211</v>
      </c>
      <c r="C7" s="202" t="s">
        <v>181</v>
      </c>
    </row>
    <row r="8" spans="1:3">
      <c r="A8" s="200" t="s">
        <v>43</v>
      </c>
      <c r="B8" s="201" t="s">
        <v>214</v>
      </c>
      <c r="C8" s="202" t="s">
        <v>46</v>
      </c>
    </row>
    <row r="9" spans="1:3" ht="30">
      <c r="A9" s="200" t="s">
        <v>47</v>
      </c>
      <c r="B9" s="201" t="s">
        <v>218</v>
      </c>
      <c r="C9" s="203" t="s">
        <v>816</v>
      </c>
    </row>
    <row r="10" spans="1:3">
      <c r="A10" s="200" t="s">
        <v>50</v>
      </c>
      <c r="B10" s="201" t="s">
        <v>220</v>
      </c>
      <c r="C10" s="202" t="s">
        <v>53</v>
      </c>
    </row>
    <row r="11" spans="1:3" ht="45">
      <c r="A11" s="200" t="s">
        <v>54</v>
      </c>
      <c r="B11" s="201" t="s">
        <v>223</v>
      </c>
      <c r="C11" s="202" t="s">
        <v>817</v>
      </c>
    </row>
    <row r="12" spans="1:3" ht="45">
      <c r="A12" s="200" t="s">
        <v>57</v>
      </c>
      <c r="B12" s="201" t="s">
        <v>226</v>
      </c>
      <c r="C12" s="202" t="s">
        <v>60</v>
      </c>
    </row>
    <row r="13" spans="1:3" ht="30">
      <c r="A13" s="200" t="s">
        <v>61</v>
      </c>
      <c r="B13" s="201" t="s">
        <v>229</v>
      </c>
      <c r="C13" s="202" t="s">
        <v>818</v>
      </c>
    </row>
    <row r="14" spans="1:3" ht="30">
      <c r="A14" s="200" t="s">
        <v>512</v>
      </c>
      <c r="B14" s="201" t="s">
        <v>231</v>
      </c>
      <c r="C14" s="202" t="s">
        <v>819</v>
      </c>
    </row>
    <row r="15" spans="1:3" ht="30">
      <c r="A15" s="200" t="s">
        <v>516</v>
      </c>
      <c r="B15" s="201" t="s">
        <v>234</v>
      </c>
      <c r="C15" s="202" t="s">
        <v>820</v>
      </c>
    </row>
    <row r="16" spans="1:3" ht="30">
      <c r="A16" s="200" t="s">
        <v>519</v>
      </c>
      <c r="B16" s="201" t="s">
        <v>236</v>
      </c>
      <c r="C16" s="202" t="s">
        <v>821</v>
      </c>
    </row>
    <row r="17" spans="1:3">
      <c r="A17" s="200" t="s">
        <v>522</v>
      </c>
      <c r="B17" s="201" t="s">
        <v>238</v>
      </c>
      <c r="C17" s="202" t="s">
        <v>822</v>
      </c>
    </row>
    <row r="18" spans="1:3" ht="30">
      <c r="A18" s="200" t="s">
        <v>525</v>
      </c>
      <c r="B18" s="201" t="s">
        <v>240</v>
      </c>
      <c r="C18" s="202" t="s">
        <v>823</v>
      </c>
    </row>
    <row r="19" spans="1:3" ht="45">
      <c r="A19" s="200" t="s">
        <v>528</v>
      </c>
      <c r="B19" s="201" t="s">
        <v>242</v>
      </c>
      <c r="C19" s="202" t="s">
        <v>824</v>
      </c>
    </row>
    <row r="20" spans="1:3">
      <c r="A20" s="200" t="s">
        <v>531</v>
      </c>
      <c r="B20" s="201" t="s">
        <v>532</v>
      </c>
      <c r="C20" s="202" t="s">
        <v>825</v>
      </c>
    </row>
    <row r="21" spans="1:3" ht="45">
      <c r="A21" s="200" t="s">
        <v>535</v>
      </c>
      <c r="B21" s="201" t="s">
        <v>245</v>
      </c>
      <c r="C21" s="202" t="s">
        <v>826</v>
      </c>
    </row>
    <row r="22" spans="1:3">
      <c r="A22" s="200" t="s">
        <v>63</v>
      </c>
      <c r="B22" s="201" t="s">
        <v>247</v>
      </c>
      <c r="C22" s="202" t="s">
        <v>827</v>
      </c>
    </row>
    <row r="23" spans="1:3">
      <c r="A23" s="200" t="s">
        <v>68</v>
      </c>
      <c r="B23" s="201" t="s">
        <v>260</v>
      </c>
      <c r="C23" s="202" t="s">
        <v>828</v>
      </c>
    </row>
    <row r="24" spans="1:3">
      <c r="A24" s="200" t="s">
        <v>73</v>
      </c>
      <c r="B24" s="201" t="s">
        <v>552</v>
      </c>
      <c r="C24" s="202" t="s">
        <v>829</v>
      </c>
    </row>
    <row r="25" spans="1:3" ht="30">
      <c r="A25" s="200" t="s">
        <v>553</v>
      </c>
      <c r="B25" s="201" t="s">
        <v>267</v>
      </c>
      <c r="C25" s="202" t="s">
        <v>830</v>
      </c>
    </row>
    <row r="26" spans="1:3" ht="30">
      <c r="A26" s="200" t="s">
        <v>556</v>
      </c>
      <c r="B26" s="201" t="s">
        <v>269</v>
      </c>
      <c r="C26" s="204" t="s">
        <v>831</v>
      </c>
    </row>
    <row r="27" spans="1:3" ht="30">
      <c r="A27" s="200" t="s">
        <v>559</v>
      </c>
      <c r="B27" s="201" t="s">
        <v>271</v>
      </c>
      <c r="C27" s="204" t="s">
        <v>832</v>
      </c>
    </row>
    <row r="28" spans="1:3" ht="30">
      <c r="A28" s="200" t="s">
        <v>562</v>
      </c>
      <c r="B28" s="201" t="s">
        <v>273</v>
      </c>
      <c r="C28" s="204" t="s">
        <v>833</v>
      </c>
    </row>
    <row r="29" spans="1:3" ht="30">
      <c r="A29" s="200" t="s">
        <v>565</v>
      </c>
      <c r="B29" s="201" t="s">
        <v>275</v>
      </c>
      <c r="C29" s="204" t="s">
        <v>834</v>
      </c>
    </row>
    <row r="30" spans="1:3" ht="30">
      <c r="A30" s="200" t="s">
        <v>568</v>
      </c>
      <c r="B30" s="201" t="s">
        <v>277</v>
      </c>
      <c r="C30" s="204" t="s">
        <v>835</v>
      </c>
    </row>
    <row r="31" spans="1:3" ht="30">
      <c r="A31" s="200" t="s">
        <v>571</v>
      </c>
      <c r="B31" s="201" t="s">
        <v>279</v>
      </c>
      <c r="C31" s="204" t="s">
        <v>836</v>
      </c>
    </row>
    <row r="32" spans="1:3" ht="30">
      <c r="A32" s="200" t="s">
        <v>76</v>
      </c>
      <c r="B32" s="201" t="s">
        <v>281</v>
      </c>
      <c r="C32" s="202" t="s">
        <v>837</v>
      </c>
    </row>
    <row r="33" spans="1:3">
      <c r="A33" s="200" t="s">
        <v>575</v>
      </c>
      <c r="B33" s="201" t="s">
        <v>283</v>
      </c>
      <c r="C33" s="202" t="s">
        <v>838</v>
      </c>
    </row>
    <row r="34" spans="1:3" ht="30">
      <c r="A34" s="200" t="s">
        <v>581</v>
      </c>
      <c r="B34" s="201" t="s">
        <v>287</v>
      </c>
      <c r="C34" s="202" t="s">
        <v>839</v>
      </c>
    </row>
    <row r="35" spans="1:3" ht="30">
      <c r="A35" s="200" t="s">
        <v>584</v>
      </c>
      <c r="B35" s="201" t="s">
        <v>289</v>
      </c>
      <c r="C35" s="202" t="s">
        <v>840</v>
      </c>
    </row>
    <row r="36" spans="1:3" ht="45">
      <c r="A36" s="200" t="s">
        <v>587</v>
      </c>
      <c r="B36" s="201" t="s">
        <v>291</v>
      </c>
      <c r="C36" s="202" t="s">
        <v>841</v>
      </c>
    </row>
    <row r="37" spans="1:3">
      <c r="A37" s="200" t="s">
        <v>590</v>
      </c>
      <c r="B37" s="201" t="s">
        <v>293</v>
      </c>
      <c r="C37" s="202" t="s">
        <v>842</v>
      </c>
    </row>
    <row r="38" spans="1:3">
      <c r="A38" s="200" t="s">
        <v>593</v>
      </c>
      <c r="B38" s="201" t="s">
        <v>295</v>
      </c>
      <c r="C38" s="202" t="s">
        <v>843</v>
      </c>
    </row>
    <row r="39" spans="1:3" ht="30">
      <c r="A39" s="200" t="s">
        <v>596</v>
      </c>
      <c r="B39" s="201" t="s">
        <v>297</v>
      </c>
      <c r="C39" s="202" t="s">
        <v>844</v>
      </c>
    </row>
    <row r="40" spans="1:3">
      <c r="A40" s="200" t="s">
        <v>599</v>
      </c>
      <c r="B40" s="201" t="s">
        <v>299</v>
      </c>
      <c r="C40" s="202" t="s">
        <v>845</v>
      </c>
    </row>
    <row r="41" spans="1:3" ht="30">
      <c r="A41" s="200" t="s">
        <v>602</v>
      </c>
      <c r="B41" s="201" t="s">
        <v>301</v>
      </c>
      <c r="C41" s="202" t="s">
        <v>846</v>
      </c>
    </row>
    <row r="42" spans="1:3" ht="30">
      <c r="A42" s="200" t="s">
        <v>605</v>
      </c>
      <c r="B42" s="201" t="s">
        <v>303</v>
      </c>
      <c r="C42" s="202" t="s">
        <v>847</v>
      </c>
    </row>
    <row r="43" spans="1:3">
      <c r="A43" s="200" t="s">
        <v>608</v>
      </c>
      <c r="B43" s="201" t="s">
        <v>305</v>
      </c>
      <c r="C43" s="202" t="s">
        <v>848</v>
      </c>
    </row>
    <row r="44" spans="1:3">
      <c r="A44" s="200" t="s">
        <v>611</v>
      </c>
      <c r="B44" s="201" t="s">
        <v>307</v>
      </c>
      <c r="C44" s="202" t="s">
        <v>849</v>
      </c>
    </row>
    <row r="45" spans="1:3" ht="30">
      <c r="A45" s="200" t="s">
        <v>614</v>
      </c>
      <c r="B45" s="201" t="s">
        <v>309</v>
      </c>
      <c r="C45" s="202" t="s">
        <v>850</v>
      </c>
    </row>
    <row r="46" spans="1:3" ht="30">
      <c r="A46" s="200" t="s">
        <v>617</v>
      </c>
      <c r="B46" s="201" t="s">
        <v>311</v>
      </c>
      <c r="C46" s="202" t="s">
        <v>851</v>
      </c>
    </row>
    <row r="47" spans="1:3">
      <c r="A47" s="200" t="s">
        <v>620</v>
      </c>
      <c r="B47" s="201" t="s">
        <v>313</v>
      </c>
      <c r="C47" s="202" t="s">
        <v>852</v>
      </c>
    </row>
    <row r="48" spans="1:3" ht="30">
      <c r="A48" s="200" t="s">
        <v>78</v>
      </c>
      <c r="B48" s="201" t="s">
        <v>315</v>
      </c>
      <c r="C48" s="202" t="s">
        <v>853</v>
      </c>
    </row>
    <row r="49" spans="1:3" ht="30">
      <c r="A49" s="200" t="s">
        <v>81</v>
      </c>
      <c r="B49" s="201" t="s">
        <v>317</v>
      </c>
      <c r="C49" s="202" t="s">
        <v>854</v>
      </c>
    </row>
    <row r="50" spans="1:3">
      <c r="A50" s="200" t="s">
        <v>623</v>
      </c>
      <c r="B50" s="201" t="s">
        <v>319</v>
      </c>
      <c r="C50" s="202" t="s">
        <v>855</v>
      </c>
    </row>
    <row r="51" spans="1:3">
      <c r="A51" s="200" t="s">
        <v>84</v>
      </c>
      <c r="B51" s="201" t="s">
        <v>321</v>
      </c>
      <c r="C51" s="202" t="s">
        <v>856</v>
      </c>
    </row>
    <row r="52" spans="1:3" ht="30">
      <c r="A52" s="200" t="s">
        <v>628</v>
      </c>
      <c r="B52" s="201" t="s">
        <v>326</v>
      </c>
      <c r="C52" s="202" t="s">
        <v>857</v>
      </c>
    </row>
    <row r="53" spans="1:3" ht="30">
      <c r="A53" s="200" t="s">
        <v>631</v>
      </c>
      <c r="B53" s="201" t="s">
        <v>328</v>
      </c>
      <c r="C53" s="202" t="s">
        <v>858</v>
      </c>
    </row>
    <row r="54" spans="1:3" ht="30">
      <c r="A54" s="200" t="s">
        <v>634</v>
      </c>
      <c r="B54" s="201" t="s">
        <v>330</v>
      </c>
      <c r="C54" s="202" t="s">
        <v>941</v>
      </c>
    </row>
    <row r="55" spans="1:3">
      <c r="A55" s="200" t="s">
        <v>637</v>
      </c>
      <c r="B55" s="201" t="s">
        <v>332</v>
      </c>
      <c r="C55" s="202" t="s">
        <v>332</v>
      </c>
    </row>
    <row r="56" spans="1:3" ht="60">
      <c r="A56" s="200" t="s">
        <v>89</v>
      </c>
      <c r="B56" s="201" t="s">
        <v>334</v>
      </c>
      <c r="C56" s="202" t="s">
        <v>859</v>
      </c>
    </row>
    <row r="57" spans="1:3" ht="30">
      <c r="A57" s="200" t="s">
        <v>92</v>
      </c>
      <c r="B57" s="201" t="s">
        <v>640</v>
      </c>
      <c r="C57" s="202" t="s">
        <v>860</v>
      </c>
    </row>
    <row r="58" spans="1:3" ht="30">
      <c r="A58" s="200" t="s">
        <v>641</v>
      </c>
      <c r="B58" s="201" t="s">
        <v>337</v>
      </c>
      <c r="C58" s="202" t="s">
        <v>861</v>
      </c>
    </row>
    <row r="59" spans="1:3" ht="45">
      <c r="A59" s="200" t="s">
        <v>95</v>
      </c>
      <c r="B59" s="201" t="s">
        <v>339</v>
      </c>
      <c r="C59" s="202" t="s">
        <v>862</v>
      </c>
    </row>
    <row r="60" spans="1:3" ht="45">
      <c r="A60" s="200" t="s">
        <v>98</v>
      </c>
      <c r="B60" s="205" t="s">
        <v>341</v>
      </c>
      <c r="C60" s="202" t="s">
        <v>101</v>
      </c>
    </row>
    <row r="61" spans="1:3">
      <c r="A61" s="200" t="s">
        <v>102</v>
      </c>
      <c r="B61" s="201" t="s">
        <v>343</v>
      </c>
      <c r="C61" s="202" t="s">
        <v>863</v>
      </c>
    </row>
    <row r="62" spans="1:3" ht="45">
      <c r="A62" s="200" t="s">
        <v>105</v>
      </c>
      <c r="B62" s="201" t="s">
        <v>345</v>
      </c>
      <c r="C62" s="202" t="s">
        <v>864</v>
      </c>
    </row>
    <row r="63" spans="1:3" ht="30">
      <c r="A63" s="200" t="s">
        <v>108</v>
      </c>
      <c r="B63" s="201" t="s">
        <v>347</v>
      </c>
      <c r="C63" s="202" t="s">
        <v>865</v>
      </c>
    </row>
    <row r="64" spans="1:3" ht="45">
      <c r="A64" s="200" t="s">
        <v>111</v>
      </c>
      <c r="B64" s="205" t="s">
        <v>349</v>
      </c>
      <c r="C64" s="202" t="s">
        <v>114</v>
      </c>
    </row>
    <row r="65" spans="1:3" ht="30">
      <c r="A65" s="200" t="s">
        <v>115</v>
      </c>
      <c r="B65" s="201" t="s">
        <v>351</v>
      </c>
      <c r="C65" s="202" t="s">
        <v>866</v>
      </c>
    </row>
    <row r="66" spans="1:3" ht="30">
      <c r="A66" s="200" t="s">
        <v>118</v>
      </c>
      <c r="B66" s="201" t="s">
        <v>354</v>
      </c>
      <c r="C66" s="202" t="s">
        <v>867</v>
      </c>
    </row>
    <row r="67" spans="1:3" ht="45">
      <c r="A67" s="200" t="s">
        <v>645</v>
      </c>
      <c r="B67" s="201" t="s">
        <v>356</v>
      </c>
      <c r="C67" s="202" t="s">
        <v>868</v>
      </c>
    </row>
    <row r="68" spans="1:3" ht="45">
      <c r="A68" s="200" t="s">
        <v>121</v>
      </c>
      <c r="B68" s="201" t="s">
        <v>358</v>
      </c>
      <c r="C68" s="202" t="s">
        <v>869</v>
      </c>
    </row>
    <row r="69" spans="1:3" ht="30">
      <c r="A69" s="200" t="s">
        <v>649</v>
      </c>
      <c r="B69" s="201" t="s">
        <v>650</v>
      </c>
      <c r="C69" s="202" t="s">
        <v>870</v>
      </c>
    </row>
    <row r="70" spans="1:3">
      <c r="A70" s="200" t="s">
        <v>664</v>
      </c>
      <c r="B70" s="201" t="s">
        <v>372</v>
      </c>
      <c r="C70" s="202" t="s">
        <v>871</v>
      </c>
    </row>
    <row r="71" spans="1:3">
      <c r="A71" s="200" t="s">
        <v>667</v>
      </c>
      <c r="B71" s="201" t="s">
        <v>374</v>
      </c>
      <c r="C71" s="202" t="s">
        <v>872</v>
      </c>
    </row>
    <row r="72" spans="1:3">
      <c r="A72" s="200" t="s">
        <v>670</v>
      </c>
      <c r="B72" s="201" t="s">
        <v>376</v>
      </c>
      <c r="C72" s="202" t="s">
        <v>873</v>
      </c>
    </row>
    <row r="73" spans="1:3">
      <c r="A73" s="200" t="s">
        <v>673</v>
      </c>
      <c r="B73" s="201" t="s">
        <v>378</v>
      </c>
      <c r="C73" s="202" t="s">
        <v>874</v>
      </c>
    </row>
    <row r="74" spans="1:3" ht="30">
      <c r="A74" s="200" t="s">
        <v>676</v>
      </c>
      <c r="B74" s="201" t="s">
        <v>677</v>
      </c>
      <c r="C74" s="203" t="s">
        <v>875</v>
      </c>
    </row>
    <row r="75" spans="1:3">
      <c r="A75" s="200" t="s">
        <v>924</v>
      </c>
      <c r="B75" s="201" t="s">
        <v>925</v>
      </c>
      <c r="C75" s="210" t="s">
        <v>942</v>
      </c>
    </row>
    <row r="76" spans="1:3" ht="30">
      <c r="A76" s="200" t="s">
        <v>684</v>
      </c>
      <c r="B76" s="201" t="s">
        <v>383</v>
      </c>
      <c r="C76" s="202" t="s">
        <v>943</v>
      </c>
    </row>
    <row r="77" spans="1:3" ht="30">
      <c r="A77" s="200" t="s">
        <v>687</v>
      </c>
      <c r="B77" s="201" t="s">
        <v>385</v>
      </c>
      <c r="C77" s="202" t="s">
        <v>944</v>
      </c>
    </row>
    <row r="78" spans="1:3" ht="30">
      <c r="A78" s="200" t="s">
        <v>128</v>
      </c>
      <c r="B78" s="201" t="s">
        <v>387</v>
      </c>
      <c r="C78" s="202" t="s">
        <v>876</v>
      </c>
    </row>
    <row r="79" spans="1:3" ht="30">
      <c r="A79" s="200" t="s">
        <v>690</v>
      </c>
      <c r="B79" s="201" t="s">
        <v>389</v>
      </c>
      <c r="C79" s="202" t="s">
        <v>945</v>
      </c>
    </row>
    <row r="80" spans="1:3" ht="30">
      <c r="A80" s="200" t="s">
        <v>131</v>
      </c>
      <c r="B80" s="201" t="s">
        <v>391</v>
      </c>
      <c r="C80" s="202" t="s">
        <v>877</v>
      </c>
    </row>
    <row r="81" spans="1:3" ht="28.5">
      <c r="A81" s="200" t="s">
        <v>134</v>
      </c>
      <c r="B81" s="201" t="s">
        <v>393</v>
      </c>
      <c r="C81" s="202" t="s">
        <v>878</v>
      </c>
    </row>
    <row r="82" spans="1:3" ht="30">
      <c r="A82" s="200" t="s">
        <v>693</v>
      </c>
      <c r="B82" s="201" t="s">
        <v>395</v>
      </c>
      <c r="C82" s="202" t="s">
        <v>879</v>
      </c>
    </row>
    <row r="83" spans="1:3" ht="30">
      <c r="A83" s="200" t="s">
        <v>696</v>
      </c>
      <c r="B83" s="201" t="s">
        <v>397</v>
      </c>
      <c r="C83" s="202" t="s">
        <v>880</v>
      </c>
    </row>
    <row r="84" spans="1:3" ht="30">
      <c r="A84" s="200" t="s">
        <v>137</v>
      </c>
      <c r="B84" s="201" t="s">
        <v>399</v>
      </c>
      <c r="C84" s="202" t="s">
        <v>881</v>
      </c>
    </row>
    <row r="85" spans="1:3" ht="30">
      <c r="A85" s="200" t="s">
        <v>141</v>
      </c>
      <c r="B85" s="201" t="s">
        <v>140</v>
      </c>
      <c r="C85" s="202" t="s">
        <v>144</v>
      </c>
    </row>
    <row r="86" spans="1:3" ht="30">
      <c r="A86" s="200" t="s">
        <v>699</v>
      </c>
      <c r="B86" s="201" t="s">
        <v>402</v>
      </c>
      <c r="C86" s="204" t="s">
        <v>946</v>
      </c>
    </row>
    <row r="87" spans="1:3" ht="45">
      <c r="A87" s="200" t="s">
        <v>702</v>
      </c>
      <c r="B87" s="201" t="s">
        <v>404</v>
      </c>
      <c r="C87" s="202" t="s">
        <v>882</v>
      </c>
    </row>
    <row r="88" spans="1:3" ht="45">
      <c r="A88" s="200" t="s">
        <v>705</v>
      </c>
      <c r="B88" s="201" t="s">
        <v>406</v>
      </c>
      <c r="C88" s="202" t="s">
        <v>883</v>
      </c>
    </row>
    <row r="89" spans="1:3" ht="30">
      <c r="A89" s="200" t="s">
        <v>145</v>
      </c>
      <c r="B89" s="201" t="s">
        <v>408</v>
      </c>
      <c r="C89" s="202" t="s">
        <v>884</v>
      </c>
    </row>
    <row r="90" spans="1:3" ht="30">
      <c r="A90" s="200" t="s">
        <v>148</v>
      </c>
      <c r="B90" s="201" t="s">
        <v>411</v>
      </c>
      <c r="C90" s="202" t="s">
        <v>885</v>
      </c>
    </row>
    <row r="91" spans="1:3" ht="30">
      <c r="A91" s="200" t="s">
        <v>151</v>
      </c>
      <c r="B91" s="201" t="s">
        <v>154</v>
      </c>
      <c r="C91" s="202" t="s">
        <v>886</v>
      </c>
    </row>
    <row r="92" spans="1:3" ht="30">
      <c r="A92" s="200" t="s">
        <v>711</v>
      </c>
      <c r="B92" s="201" t="s">
        <v>416</v>
      </c>
      <c r="C92" s="202" t="s">
        <v>887</v>
      </c>
    </row>
    <row r="93" spans="1:3" ht="30">
      <c r="A93" s="200" t="s">
        <v>714</v>
      </c>
      <c r="B93" s="201" t="s">
        <v>418</v>
      </c>
      <c r="C93" s="202" t="s">
        <v>888</v>
      </c>
    </row>
    <row r="94" spans="1:3">
      <c r="A94" s="200" t="s">
        <v>155</v>
      </c>
      <c r="B94" s="201" t="s">
        <v>420</v>
      </c>
      <c r="C94" s="202" t="s">
        <v>889</v>
      </c>
    </row>
    <row r="95" spans="1:3">
      <c r="A95" s="200" t="s">
        <v>158</v>
      </c>
      <c r="B95" s="201" t="s">
        <v>422</v>
      </c>
      <c r="C95" s="202" t="s">
        <v>890</v>
      </c>
    </row>
    <row r="96" spans="1:3">
      <c r="A96" s="200" t="s">
        <v>161</v>
      </c>
      <c r="B96" s="201" t="s">
        <v>424</v>
      </c>
      <c r="C96" s="202" t="s">
        <v>891</v>
      </c>
    </row>
    <row r="97" spans="1:3">
      <c r="A97" s="200" t="s">
        <v>164</v>
      </c>
      <c r="B97" s="201" t="s">
        <v>426</v>
      </c>
      <c r="C97" s="202" t="s">
        <v>892</v>
      </c>
    </row>
    <row r="98" spans="1:3">
      <c r="A98" s="200" t="s">
        <v>717</v>
      </c>
      <c r="B98" s="201" t="s">
        <v>428</v>
      </c>
      <c r="C98" s="202" t="s">
        <v>893</v>
      </c>
    </row>
    <row r="99" spans="1:3">
      <c r="A99" s="200" t="s">
        <v>720</v>
      </c>
      <c r="B99" s="201" t="s">
        <v>430</v>
      </c>
      <c r="C99" s="202" t="s">
        <v>894</v>
      </c>
    </row>
    <row r="100" spans="1:3">
      <c r="A100" s="200" t="s">
        <v>725</v>
      </c>
      <c r="B100" s="201" t="s">
        <v>433</v>
      </c>
      <c r="C100" s="202" t="s">
        <v>895</v>
      </c>
    </row>
    <row r="101" spans="1:3">
      <c r="A101" s="200" t="s">
        <v>728</v>
      </c>
      <c r="B101" s="201" t="s">
        <v>435</v>
      </c>
      <c r="C101" s="202" t="s">
        <v>896</v>
      </c>
    </row>
    <row r="102" spans="1:3">
      <c r="A102" s="200" t="s">
        <v>731</v>
      </c>
      <c r="B102" s="201" t="s">
        <v>437</v>
      </c>
      <c r="C102" s="202" t="s">
        <v>897</v>
      </c>
    </row>
    <row r="103" spans="1:3">
      <c r="A103" s="200" t="s">
        <v>735</v>
      </c>
      <c r="B103" s="201" t="s">
        <v>440</v>
      </c>
      <c r="C103" s="202" t="s">
        <v>898</v>
      </c>
    </row>
    <row r="104" spans="1:3">
      <c r="A104" s="200" t="s">
        <v>738</v>
      </c>
      <c r="B104" s="201" t="s">
        <v>442</v>
      </c>
      <c r="C104" s="202" t="s">
        <v>947</v>
      </c>
    </row>
    <row r="105" spans="1:3" ht="30">
      <c r="A105" s="200" t="s">
        <v>167</v>
      </c>
      <c r="B105" s="201" t="s">
        <v>444</v>
      </c>
      <c r="C105" s="202" t="s">
        <v>899</v>
      </c>
    </row>
    <row r="106" spans="1:3">
      <c r="A106" s="200" t="s">
        <v>170</v>
      </c>
      <c r="B106" s="201" t="s">
        <v>446</v>
      </c>
      <c r="C106" s="202" t="s">
        <v>900</v>
      </c>
    </row>
    <row r="107" spans="1:3">
      <c r="A107" s="200" t="s">
        <v>741</v>
      </c>
      <c r="B107" s="201" t="s">
        <v>448</v>
      </c>
      <c r="C107" s="202" t="s">
        <v>901</v>
      </c>
    </row>
    <row r="108" spans="1:3" ht="30">
      <c r="A108" s="200" t="s">
        <v>744</v>
      </c>
      <c r="B108" s="201" t="s">
        <v>450</v>
      </c>
      <c r="C108" s="202" t="s">
        <v>902</v>
      </c>
    </row>
    <row r="109" spans="1:3" ht="57">
      <c r="A109" s="200" t="s">
        <v>173</v>
      </c>
      <c r="B109" s="201" t="s">
        <v>452</v>
      </c>
      <c r="C109" s="203" t="s">
        <v>176</v>
      </c>
    </row>
    <row r="110" spans="1:3" ht="30">
      <c r="A110" s="200" t="s">
        <v>747</v>
      </c>
      <c r="B110" s="201" t="s">
        <v>454</v>
      </c>
      <c r="C110" s="203" t="s">
        <v>903</v>
      </c>
    </row>
    <row r="111" spans="1:3" ht="30">
      <c r="A111" s="200" t="s">
        <v>177</v>
      </c>
      <c r="B111" s="201" t="s">
        <v>457</v>
      </c>
      <c r="C111" s="202" t="s">
        <v>904</v>
      </c>
    </row>
    <row r="112" spans="1:3">
      <c r="A112" s="200" t="s">
        <v>928</v>
      </c>
      <c r="B112" s="201" t="s">
        <v>915</v>
      </c>
      <c r="C112" s="202" t="s">
        <v>948</v>
      </c>
    </row>
    <row r="113" spans="1:3" ht="30">
      <c r="A113" s="200" t="s">
        <v>179</v>
      </c>
      <c r="B113" s="201" t="s">
        <v>459</v>
      </c>
      <c r="C113" s="202" t="s">
        <v>905</v>
      </c>
    </row>
    <row r="114" spans="1:3">
      <c r="A114" s="200" t="s">
        <v>754</v>
      </c>
      <c r="B114" s="201" t="s">
        <v>461</v>
      </c>
      <c r="C114" s="202" t="s">
        <v>906</v>
      </c>
    </row>
    <row r="115" spans="1:3">
      <c r="A115" s="200" t="s">
        <v>757</v>
      </c>
      <c r="B115" s="201" t="s">
        <v>463</v>
      </c>
      <c r="C115" s="202" t="s">
        <v>907</v>
      </c>
    </row>
    <row r="116" spans="1:3" ht="30">
      <c r="A116" s="200" t="s">
        <v>760</v>
      </c>
      <c r="B116" s="201" t="s">
        <v>465</v>
      </c>
      <c r="C116" s="204" t="s">
        <v>908</v>
      </c>
    </row>
    <row r="117" spans="1:3" ht="30">
      <c r="A117" s="200" t="s">
        <v>931</v>
      </c>
      <c r="B117" s="201" t="s">
        <v>917</v>
      </c>
      <c r="C117" s="204" t="s">
        <v>949</v>
      </c>
    </row>
    <row r="118" spans="1:3">
      <c r="A118" s="200" t="s">
        <v>765</v>
      </c>
      <c r="B118" s="201" t="s">
        <v>468</v>
      </c>
      <c r="C118" s="204" t="s">
        <v>950</v>
      </c>
    </row>
    <row r="119" spans="1:3" ht="30">
      <c r="A119" s="200" t="s">
        <v>768</v>
      </c>
      <c r="B119" s="201" t="s">
        <v>470</v>
      </c>
      <c r="C119" s="211" t="s">
        <v>951</v>
      </c>
    </row>
    <row r="120" spans="1:3">
      <c r="A120" s="200" t="s">
        <v>771</v>
      </c>
      <c r="B120" s="201" t="s">
        <v>472</v>
      </c>
      <c r="C120" s="211" t="s">
        <v>952</v>
      </c>
    </row>
    <row r="121" spans="1:3" ht="30">
      <c r="A121" s="200" t="s">
        <v>774</v>
      </c>
      <c r="B121" s="201" t="s">
        <v>474</v>
      </c>
      <c r="C121" s="211" t="s">
        <v>953</v>
      </c>
    </row>
    <row r="122" spans="1:3" ht="30">
      <c r="A122" s="200" t="s">
        <v>777</v>
      </c>
      <c r="B122" s="201" t="s">
        <v>476</v>
      </c>
      <c r="C122" s="202" t="s">
        <v>954</v>
      </c>
    </row>
    <row r="123" spans="1:3" ht="60">
      <c r="A123" s="200" t="s">
        <v>780</v>
      </c>
      <c r="B123" s="201" t="s">
        <v>478</v>
      </c>
      <c r="C123" s="202" t="s">
        <v>955</v>
      </c>
    </row>
    <row r="124" spans="1:3">
      <c r="A124" s="200" t="s">
        <v>783</v>
      </c>
      <c r="B124" s="201" t="s">
        <v>480</v>
      </c>
      <c r="C124" s="202" t="s">
        <v>956</v>
      </c>
    </row>
    <row r="125" spans="1:3" ht="30">
      <c r="A125" s="200" t="s">
        <v>934</v>
      </c>
      <c r="B125" s="201" t="s">
        <v>919</v>
      </c>
      <c r="C125" s="202" t="s">
        <v>957</v>
      </c>
    </row>
    <row r="126" spans="1:3" ht="30.75" thickBot="1">
      <c r="A126" s="206" t="s">
        <v>937</v>
      </c>
      <c r="B126" s="207" t="s">
        <v>921</v>
      </c>
      <c r="C126" s="212" t="s">
        <v>958</v>
      </c>
    </row>
  </sheetData>
  <autoFilter ref="A2:C2" xr:uid="{00000000-0009-0000-0000-000005000000}"/>
  <mergeCells count="1">
    <mergeCell ref="B1:C1"/>
  </mergeCells>
  <phoneticPr fontId="2"/>
  <conditionalFormatting sqref="C109">
    <cfRule type="expression" dxfId="11" priority="2">
      <formula>#REF!="Y"</formula>
    </cfRule>
  </conditionalFormatting>
  <conditionalFormatting sqref="C110">
    <cfRule type="expression" dxfId="10" priority="1">
      <formula>#REF!="Y"</formula>
    </cfRule>
  </conditionalFormatting>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0" tint="-0.34998626667073579"/>
  </sheetPr>
  <dimension ref="A1:C15"/>
  <sheetViews>
    <sheetView workbookViewId="0">
      <selection activeCell="J12" sqref="J12"/>
    </sheetView>
  </sheetViews>
  <sheetFormatPr defaultRowHeight="15"/>
  <cols>
    <col min="1" max="1" width="12.42578125" customWidth="1"/>
    <col min="2" max="3" width="30.7109375" customWidth="1"/>
  </cols>
  <sheetData>
    <row r="1" spans="1:3" ht="15.75" thickBot="1">
      <c r="A1" s="128" t="s">
        <v>13</v>
      </c>
      <c r="B1" s="129" t="s">
        <v>183</v>
      </c>
      <c r="C1" s="130" t="s">
        <v>184</v>
      </c>
    </row>
    <row r="2" spans="1:3" ht="30.75" thickTop="1">
      <c r="A2" s="188">
        <v>0</v>
      </c>
      <c r="B2" s="189" t="s">
        <v>786</v>
      </c>
      <c r="C2" s="190" t="s">
        <v>787</v>
      </c>
    </row>
    <row r="3" spans="1:3" ht="30">
      <c r="A3" s="188">
        <v>1</v>
      </c>
      <c r="B3" s="189" t="s">
        <v>788</v>
      </c>
      <c r="C3" s="190" t="s">
        <v>789</v>
      </c>
    </row>
    <row r="4" spans="1:3">
      <c r="A4" s="188">
        <v>2</v>
      </c>
      <c r="B4" s="189" t="s">
        <v>790</v>
      </c>
      <c r="C4" s="190" t="s">
        <v>791</v>
      </c>
    </row>
    <row r="5" spans="1:3" ht="45">
      <c r="A5" s="188">
        <v>3</v>
      </c>
      <c r="B5" s="189" t="s">
        <v>792</v>
      </c>
      <c r="C5" s="190" t="s">
        <v>793</v>
      </c>
    </row>
    <row r="6" spans="1:3">
      <c r="A6" s="191">
        <v>4</v>
      </c>
      <c r="B6" s="192" t="s">
        <v>794</v>
      </c>
      <c r="C6" s="193" t="s">
        <v>795</v>
      </c>
    </row>
    <row r="7" spans="1:3">
      <c r="A7" s="191">
        <v>5</v>
      </c>
      <c r="B7" s="192" t="s">
        <v>796</v>
      </c>
      <c r="C7" s="193" t="s">
        <v>797</v>
      </c>
    </row>
    <row r="8" spans="1:3" ht="30">
      <c r="A8" s="188">
        <v>6</v>
      </c>
      <c r="B8" s="189" t="s">
        <v>798</v>
      </c>
      <c r="C8" s="190" t="s">
        <v>799</v>
      </c>
    </row>
    <row r="9" spans="1:3">
      <c r="A9" s="191">
        <v>9</v>
      </c>
      <c r="B9" s="192" t="s">
        <v>800</v>
      </c>
      <c r="C9" s="193" t="s">
        <v>801</v>
      </c>
    </row>
    <row r="10" spans="1:3">
      <c r="A10" s="191">
        <v>12</v>
      </c>
      <c r="B10" s="192" t="s">
        <v>802</v>
      </c>
      <c r="C10" s="193" t="s">
        <v>803</v>
      </c>
    </row>
    <row r="11" spans="1:3">
      <c r="A11" s="191">
        <v>13</v>
      </c>
      <c r="B11" s="192" t="s">
        <v>804</v>
      </c>
      <c r="C11" s="193" t="s">
        <v>805</v>
      </c>
    </row>
    <row r="12" spans="1:3">
      <c r="A12" s="191">
        <v>16</v>
      </c>
      <c r="B12" s="192" t="s">
        <v>806</v>
      </c>
      <c r="C12" s="193" t="s">
        <v>807</v>
      </c>
    </row>
    <row r="13" spans="1:3">
      <c r="A13" s="191">
        <v>17</v>
      </c>
      <c r="B13" s="192" t="s">
        <v>808</v>
      </c>
      <c r="C13" s="193" t="s">
        <v>809</v>
      </c>
    </row>
    <row r="14" spans="1:3">
      <c r="A14" s="191">
        <v>18</v>
      </c>
      <c r="B14" s="192" t="s">
        <v>810</v>
      </c>
      <c r="C14" s="193" t="s">
        <v>811</v>
      </c>
    </row>
    <row r="15" spans="1:3" ht="15.75" thickBot="1">
      <c r="A15" s="194">
        <v>19</v>
      </c>
      <c r="B15" s="195" t="s">
        <v>812</v>
      </c>
      <c r="C15" s="196" t="s">
        <v>813</v>
      </c>
    </row>
  </sheetData>
  <phoneticPr fontId="21"/>
  <pageMargins left="0.7" right="0.7" top="0.75" bottom="0.75" header="0.3" footer="0.3"/>
  <pageSetup paperSize="9"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0" tint="-0.34998626667073579"/>
  </sheetPr>
  <dimension ref="A1:B3"/>
  <sheetViews>
    <sheetView workbookViewId="0"/>
  </sheetViews>
  <sheetFormatPr defaultRowHeight="15"/>
  <cols>
    <col min="1" max="1" width="12.5703125" customWidth="1"/>
    <col min="2" max="2" width="17.5703125" customWidth="1"/>
  </cols>
  <sheetData>
    <row r="1" spans="1:2" ht="15.75" thickBot="1">
      <c r="A1" s="128" t="s">
        <v>5</v>
      </c>
      <c r="B1" s="130" t="s">
        <v>182</v>
      </c>
    </row>
    <row r="2" spans="1:2" ht="15.75" thickTop="1">
      <c r="A2" s="188">
        <v>0</v>
      </c>
      <c r="B2" s="190" t="s">
        <v>814</v>
      </c>
    </row>
    <row r="3" spans="1:2" ht="15.75" thickBot="1">
      <c r="A3" s="194">
        <v>2</v>
      </c>
      <c r="B3" s="196" t="s">
        <v>815</v>
      </c>
    </row>
  </sheetData>
  <phoneticPr fontId="2"/>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The amiibo Application Sheet</vt:lpstr>
      <vt:lpstr>amiibo Application (Example)</vt:lpstr>
      <vt:lpstr>amiibo Application Sheet Ver3.1</vt:lpstr>
      <vt:lpstr>Mii Use</vt:lpstr>
      <vt:lpstr>amiibo_DataList</vt:lpstr>
      <vt:lpstr>CharacterID</vt:lpstr>
      <vt:lpstr>SeriesID</vt:lpstr>
      <vt:lpstr>NFP_Type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lastModifiedBy/>
  <dcterms:created xsi:type="dcterms:W3CDTF">2014-11-13T04:37:43Z</dcterms:created>
  <dcterms:modified xsi:type="dcterms:W3CDTF">2023-01-17T22:02:27Z</dcterms:modified>
</cp:coreProperties>
</file>